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lenlét" sheetId="1" r:id="rId5"/>
    <sheet state="visible" name="Számolás" sheetId="2" r:id="rId6"/>
    <sheet state="visible" name="Összegzé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tc={646a5d8b-2eea-4de2-b2ec-e83058f15715}</author>
  </authors>
  <commentList>
    <comment authorId="0" xr:uid="{646a5d8b-2eea-4de2-b2ec-e83058f15715}" ref="R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hát akkor én sem &gt;:(
Összesen 1 reakció
Gergely Márki ezzel reagált: 😂 (2025-02-05 21:52 PM)
</t>
      </text>
    </comment>
  </commentList>
</comments>
</file>

<file path=xl/sharedStrings.xml><?xml version="1.0" encoding="utf-8"?>
<sst xmlns="http://schemas.openxmlformats.org/spreadsheetml/2006/main" count="399" uniqueCount="64">
  <si>
    <t>Név:</t>
  </si>
  <si>
    <t>András Papp</t>
  </si>
  <si>
    <t>Anna Sengler</t>
  </si>
  <si>
    <t>Annamária Földváry</t>
  </si>
  <si>
    <t>Flóra &amp; Boti</t>
  </si>
  <si>
    <t>Csanád Laczkó</t>
  </si>
  <si>
    <t>Csenge Domokos</t>
  </si>
  <si>
    <t>Detti Szabó</t>
  </si>
  <si>
    <t>Dóri Békási</t>
  </si>
  <si>
    <t>Gergely Márki</t>
  </si>
  <si>
    <t>Kilyénfalvi Júlia</t>
  </si>
  <si>
    <t>Kristóf Szelényi</t>
  </si>
  <si>
    <t>Laura Piski</t>
  </si>
  <si>
    <t>Léna Piski</t>
  </si>
  <si>
    <t>Linda Antal</t>
  </si>
  <si>
    <t>Máté Lajer</t>
  </si>
  <si>
    <t>Nóri Sásdi</t>
  </si>
  <si>
    <t>Laci Márki</t>
  </si>
  <si>
    <t>Domokos Kadosa</t>
  </si>
  <si>
    <t>Áron Szabó</t>
  </si>
  <si>
    <t>Máté Plank</t>
  </si>
  <si>
    <t>Lea Plank</t>
  </si>
  <si>
    <t>Plusz emberek száma</t>
  </si>
  <si>
    <t>Nem jövök :(</t>
  </si>
  <si>
    <t>Jövök :)</t>
  </si>
  <si>
    <t>Viki</t>
  </si>
  <si>
    <t>Luca Lilla</t>
  </si>
  <si>
    <t>Tardos, Balázs, Luca</t>
  </si>
  <si>
    <t>Sanyi</t>
  </si>
  <si>
    <t>Biha, Sanyi, Zoli</t>
  </si>
  <si>
    <t>Luca</t>
  </si>
  <si>
    <t>Sanyi, Mór</t>
  </si>
  <si>
    <t>Sanyi, Mór, Zoli, Tardos, Barna, Márk</t>
  </si>
  <si>
    <t>Ábel</t>
  </si>
  <si>
    <t>Szalmy, Janek, Kemper</t>
  </si>
  <si>
    <t>Kemper, Sanyi. Janek</t>
  </si>
  <si>
    <t>Szalmi</t>
  </si>
  <si>
    <t>Lea,Ábel</t>
  </si>
  <si>
    <t>Lea, Szalmy, kata</t>
  </si>
  <si>
    <t>Beten, Ocean, Lea (Mátéhoz írtam), Tarzan, Janek (sorry Laci hozzád írtam), Peti (Gergőhöz írtam xd)</t>
  </si>
  <si>
    <t>Beten (Csenge), Ocean (Csanád), Lea (Máté), Szabi, Vendi (Kadi)</t>
  </si>
  <si>
    <t xml:space="preserve">Kemper, Sanyi, Szalmy, Ádi, Anna, </t>
  </si>
  <si>
    <t>Lea (Máté), Levi, Vera (Anna)</t>
  </si>
  <si>
    <t>Züri (Flóra) Anna tesói és ismerősei</t>
  </si>
  <si>
    <t>Szabi (Kadi) Bandi, és asszem Mór és a kisebbik Sanyi (Laci)</t>
  </si>
  <si>
    <t>nem volt röpi</t>
  </si>
  <si>
    <t>Vendi, Beten (Kadi), Szalmi, Sanyi, Sanyi, Mór, Zoli? (Laci)</t>
  </si>
  <si>
    <t>Szabi (Kadi) Ádám, Sanyi, Mór (Laci)</t>
  </si>
  <si>
    <t>Szabi (Kadi) Ádám és Emma?? (Laci)</t>
  </si>
  <si>
    <t>Ádám és Emma (Laci) Lillu (Csenge), Geri és Szabi (Kadi)</t>
  </si>
  <si>
    <t>Viki (csenge)</t>
  </si>
  <si>
    <t>Ádám és Emma (Laci)? Greti, Máli (Leu)</t>
  </si>
  <si>
    <t>Szabi (kadi), ocean (csanad)</t>
  </si>
  <si>
    <t>Szabi(Kadi) Sanyi (Laci), Ocean (Csanad)</t>
  </si>
  <si>
    <t xml:space="preserve">Ocean </t>
  </si>
  <si>
    <t>Szabi (Kadi), Máté, Ádi, Márk, Sanyi (Laci) Ocean (Csanád)</t>
  </si>
  <si>
    <t>Kijénfalvi Júlia</t>
  </si>
  <si>
    <t>Kristóf szelényi</t>
  </si>
  <si>
    <t>Kadosa Domokos</t>
  </si>
  <si>
    <t>Plusz ember költség</t>
  </si>
  <si>
    <t>június</t>
  </si>
  <si>
    <t>július</t>
  </si>
  <si>
    <t>Augusztus</t>
  </si>
  <si>
    <t>Szeptember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</si>
</sst>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.d"/>
    <numFmt numFmtId="165" formatCode="yyyy.mm.dd"/>
    <numFmt numFmtId="166" formatCode="0.0"/>
    <numFmt numFmtId="167" formatCode="#,##0.00\ [$Ft-40E]"/>
  </numFmts>
  <fonts count="4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1" fillId="2" fontId="1" numFmtId="0" xfId="0" applyAlignment="1" applyBorder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8">
    <tableStyle count="3" pivot="0" name="Jelenlét-style">
      <tableStyleElement dxfId="1" type="headerRow"/>
      <tableStyleElement dxfId="2" type="firstRowStripe"/>
      <tableStyleElement dxfId="3" type="secondRowStripe"/>
    </tableStyle>
    <tableStyle count="3" pivot="0" name="Jelenlét-style 2">
      <tableStyleElement dxfId="1" type="headerRow"/>
      <tableStyleElement dxfId="2" type="firstRowStripe"/>
      <tableStyleElement dxfId="3" type="secondRowStripe"/>
    </tableStyle>
    <tableStyle count="3" pivot="0" name="Számolás-style">
      <tableStyleElement dxfId="1" type="headerRow"/>
      <tableStyleElement dxfId="2" type="firstRowStripe"/>
      <tableStyleElement dxfId="3" type="secondRowStripe"/>
    </tableStyle>
    <tableStyle count="3" pivot="0" name="Számolás-style 2">
      <tableStyleElement dxfId="1" type="headerRow"/>
      <tableStyleElement dxfId="2" type="firstRowStripe"/>
      <tableStyleElement dxfId="3" type="secondRowStripe"/>
    </tableStyle>
    <tableStyle count="3" pivot="0" name="Összegzés-style">
      <tableStyleElement dxfId="1" type="headerRow"/>
      <tableStyleElement dxfId="2" type="firstRowStripe"/>
      <tableStyleElement dxfId="3" type="secondRowStripe"/>
    </tableStyle>
    <tableStyle count="2" pivot="0" name="Összegzés-style 2">
      <tableStyleElement dxfId="2" type="firstRowStripe"/>
      <tableStyleElement dxfId="3" type="secondRowStripe"/>
    </tableStyle>
    <tableStyle count="2" pivot="0" name="Összegzés-style 3">
      <tableStyleElement dxfId="2" type="firstRowStripe"/>
      <tableStyleElement dxfId="3" type="secondRowStripe"/>
    </tableStyle>
    <tableStyle count="2" pivot="0" name="Összegzés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ás Papp" id="{0f0f04f4-f1ce-45ae-a39c-ecac898e1d44}" providerId="google-sheets"/>
</x18tc:personList>
</file>

<file path=xl/tables/table1.xml><?xml version="1.0" encoding="utf-8"?>
<table xmlns="http://schemas.openxmlformats.org/spreadsheetml/2006/main" headerRowCount="0" ref="B1:AA9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Jelenlé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02:AA102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Jelenlé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B1:R2" displayName="Table_3" name="Table_3" id="3">
  <tableColumns count="17">
    <tableColumn name="András Papp" id="1"/>
    <tableColumn name="Anna Sengler" id="2"/>
    <tableColumn name="Annamária Földváry" id="3"/>
    <tableColumn name="Flóra &amp; Boti" id="4"/>
    <tableColumn name="Csanád Laczkó" id="5"/>
    <tableColumn name="Csenge Domokos" id="6"/>
    <tableColumn name="Detti Szabó" id="7"/>
    <tableColumn name="Dóri Békási" id="8"/>
    <tableColumn name="Gergely Márki" id="9"/>
    <tableColumn name="Kijénfalvi Júlia" id="10"/>
    <tableColumn name="Kristóf szelényi" id="11"/>
    <tableColumn name="Laura Piski" id="12"/>
    <tableColumn name="Léna Piski" id="13"/>
    <tableColumn name="Linda Antal" id="14"/>
    <tableColumn name="Máté Lajer" id="15"/>
    <tableColumn name="Nóri Sásdi" id="16"/>
    <tableColumn name="Laci Márki" id="17"/>
  </tableColumns>
  <tableStyleInfo name="Számolás-style" showColumnStripes="0" showFirstColumn="1" showLastColumn="1" showRowStripes="1"/>
</table>
</file>

<file path=xl/tables/table4.xml><?xml version="1.0" encoding="utf-8"?>
<table xmlns="http://schemas.openxmlformats.org/spreadsheetml/2006/main" headerRowCount="0" ref="T1:Y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zámolá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1:W1" displayName="Table_5" name="Table_5" id="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Összegzé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2:W7" displayName="Table_6" name="Table_6" id="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Összegzés-style 2" showColumnStripes="0" showFirstColumn="1" showLastColumn="1" showRowStripes="1"/>
</table>
</file>

<file path=xl/tables/table7.xml><?xml version="1.0" encoding="utf-8"?>
<table xmlns="http://schemas.openxmlformats.org/spreadsheetml/2006/main" headerRowCount="0" ref="B8:W15" displayName="Table_7" name="Table_7" id="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Összegzés-style 3" showColumnStripes="0" showFirstColumn="1" showLastColumn="1" showRowStripes="1"/>
</table>
</file>

<file path=xl/tables/table8.xml><?xml version="1.0" encoding="utf-8"?>
<table xmlns="http://schemas.openxmlformats.org/spreadsheetml/2006/main" headerRowCount="0" ref="B21:W21" displayName="Table_8" name="Table_8" id="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Összegzé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25" dT="2025-02-05T18:52:34.00" personId="{0f0f04f4-f1ce-45ae-a39c-ecac898e1d44}" id="{646a5d8b-2eea-4de2-b2ec-e83058f15715}" done="0">
    <x18tc:text xml:space="preserve">hát akkor én sem &gt;:(
Összesen 1 reakció
Gergely Márki ezzel reagált: 😂 (2025-02-05 21:52 PM)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5"/>
    <col customWidth="1" min="2" max="2" width="16.13"/>
    <col customWidth="1" min="3" max="3" width="16.63"/>
    <col customWidth="1" min="4" max="4" width="21.88"/>
    <col customWidth="1" min="5" max="5" width="14.88"/>
    <col customWidth="1" min="6" max="6" width="18.13"/>
    <col customWidth="1" min="7" max="7" width="20.13"/>
    <col customWidth="1" min="8" max="8" width="15.0"/>
    <col customWidth="1" min="9" max="9" width="14.88"/>
    <col customWidth="1" min="10" max="10" width="16.88"/>
    <col customWidth="1" min="11" max="11" width="17.13"/>
    <col customWidth="1" min="12" max="12" width="17.88"/>
    <col customWidth="1" min="13" max="13" width="14.63"/>
    <col customWidth="1" min="14" max="14" width="14.0"/>
    <col customWidth="1" min="15" max="15" width="14.63"/>
    <col customWidth="1" min="16" max="16" width="14.13"/>
    <col customWidth="1" min="17" max="17" width="14.0"/>
    <col customWidth="1" min="18" max="18" width="21.25"/>
    <col customWidth="1" min="19" max="19" width="15.13"/>
    <col customWidth="1" min="20" max="22" width="21.25"/>
    <col customWidth="1" min="23" max="23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5"/>
      <c r="Y1" s="5"/>
      <c r="Z1" s="5"/>
      <c r="AA1" s="5"/>
    </row>
    <row r="2">
      <c r="A2" s="6">
        <v>45594.0</v>
      </c>
      <c r="B2" s="3" t="s">
        <v>23</v>
      </c>
      <c r="C2" s="2" t="s">
        <v>23</v>
      </c>
      <c r="D2" s="3" t="s">
        <v>24</v>
      </c>
      <c r="E2" s="2" t="s">
        <v>24</v>
      </c>
      <c r="F2" s="3" t="s">
        <v>24</v>
      </c>
      <c r="G2" s="3" t="s">
        <v>23</v>
      </c>
      <c r="H2" s="2"/>
      <c r="I2" s="3" t="s">
        <v>24</v>
      </c>
      <c r="J2" s="3" t="s">
        <v>24</v>
      </c>
      <c r="K2" s="3" t="s">
        <v>23</v>
      </c>
      <c r="L2" s="2" t="s">
        <v>24</v>
      </c>
      <c r="M2" s="3" t="s">
        <v>24</v>
      </c>
      <c r="N2" s="3" t="s">
        <v>24</v>
      </c>
      <c r="O2" s="3" t="s">
        <v>24</v>
      </c>
      <c r="P2" s="2" t="s">
        <v>23</v>
      </c>
      <c r="Q2" s="2"/>
      <c r="R2" s="2"/>
      <c r="S2" s="7"/>
      <c r="T2" s="7"/>
      <c r="U2" s="4" t="s">
        <v>23</v>
      </c>
      <c r="V2" s="4"/>
      <c r="W2" s="5"/>
      <c r="X2" s="5"/>
      <c r="Y2" s="5">
        <f>COUNTIF(B2:R2,"Jövök :)")</f>
        <v>9</v>
      </c>
      <c r="Z2" s="5"/>
      <c r="AA2" s="5"/>
    </row>
    <row r="3">
      <c r="A3" s="8">
        <v>45601.0</v>
      </c>
      <c r="B3" s="3" t="s">
        <v>23</v>
      </c>
      <c r="C3" s="2" t="s">
        <v>23</v>
      </c>
      <c r="D3" s="3" t="s">
        <v>23</v>
      </c>
      <c r="E3" s="2" t="s">
        <v>23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s="3" t="s">
        <v>23</v>
      </c>
      <c r="L3" s="2" t="s">
        <v>23</v>
      </c>
      <c r="M3" s="3" t="s">
        <v>24</v>
      </c>
      <c r="N3" s="3" t="s">
        <v>23</v>
      </c>
      <c r="O3" s="3" t="s">
        <v>23</v>
      </c>
      <c r="P3" s="2" t="s">
        <v>23</v>
      </c>
      <c r="Q3" s="2"/>
      <c r="R3" s="2"/>
      <c r="S3" s="7"/>
      <c r="T3" s="7"/>
      <c r="U3" s="4" t="s">
        <v>23</v>
      </c>
      <c r="V3" s="4"/>
      <c r="W3" s="5"/>
      <c r="X3" s="5"/>
      <c r="Y3" s="5">
        <f t="shared" ref="Y3:Y17" si="1">COUNTIF(B3:U3,"Jövök :)")</f>
        <v>6</v>
      </c>
      <c r="Z3" s="5">
        <f t="shared" ref="Z3:Z8" si="2">(1.55*14000)/(Y3+W3)</f>
        <v>3616.666667</v>
      </c>
      <c r="AA3" s="5"/>
    </row>
    <row r="4">
      <c r="A4" s="6">
        <v>45608.0</v>
      </c>
      <c r="B4" s="3" t="s">
        <v>24</v>
      </c>
      <c r="C4" s="2" t="s">
        <v>23</v>
      </c>
      <c r="D4" s="3" t="s">
        <v>24</v>
      </c>
      <c r="E4" s="2" t="s">
        <v>23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23</v>
      </c>
      <c r="L4" s="2" t="s">
        <v>24</v>
      </c>
      <c r="M4" s="3" t="s">
        <v>23</v>
      </c>
      <c r="N4" s="3" t="s">
        <v>23</v>
      </c>
      <c r="O4" s="3" t="s">
        <v>23</v>
      </c>
      <c r="P4" s="2" t="s">
        <v>23</v>
      </c>
      <c r="Q4" s="2"/>
      <c r="R4" s="2"/>
      <c r="S4" s="7"/>
      <c r="T4" s="7"/>
      <c r="U4" s="4" t="s">
        <v>23</v>
      </c>
      <c r="V4" s="4"/>
      <c r="W4" s="5"/>
      <c r="X4" s="5"/>
      <c r="Y4" s="5">
        <f t="shared" si="1"/>
        <v>8</v>
      </c>
      <c r="Z4" s="5">
        <f t="shared" si="2"/>
        <v>2712.5</v>
      </c>
      <c r="AA4" s="5"/>
    </row>
    <row r="5">
      <c r="A5" s="6">
        <v>45615.0</v>
      </c>
      <c r="B5" s="3" t="s">
        <v>24</v>
      </c>
      <c r="C5" s="2" t="s">
        <v>23</v>
      </c>
      <c r="D5" s="3" t="s">
        <v>24</v>
      </c>
      <c r="E5" s="2" t="s">
        <v>24</v>
      </c>
      <c r="F5" s="3" t="s">
        <v>24</v>
      </c>
      <c r="G5" s="3" t="s">
        <v>24</v>
      </c>
      <c r="H5" s="3" t="s">
        <v>24</v>
      </c>
      <c r="I5" s="3" t="s">
        <v>24</v>
      </c>
      <c r="J5" s="3" t="s">
        <v>24</v>
      </c>
      <c r="K5" s="3" t="s">
        <v>24</v>
      </c>
      <c r="L5" s="2" t="s">
        <v>23</v>
      </c>
      <c r="M5" s="3" t="s">
        <v>23</v>
      </c>
      <c r="N5" s="3" t="s">
        <v>23</v>
      </c>
      <c r="O5" s="3" t="s">
        <v>23</v>
      </c>
      <c r="P5" s="2" t="s">
        <v>23</v>
      </c>
      <c r="Q5" s="3" t="s">
        <v>24</v>
      </c>
      <c r="R5" s="2"/>
      <c r="S5" s="7"/>
      <c r="T5" s="7"/>
      <c r="U5" s="4" t="s">
        <v>23</v>
      </c>
      <c r="V5" s="4"/>
      <c r="W5" s="5"/>
      <c r="X5" s="5"/>
      <c r="Y5" s="5">
        <f t="shared" si="1"/>
        <v>10</v>
      </c>
      <c r="Z5" s="5">
        <f t="shared" si="2"/>
        <v>2170</v>
      </c>
      <c r="AA5" s="5"/>
    </row>
    <row r="6">
      <c r="A6" s="6">
        <v>45622.0</v>
      </c>
      <c r="B6" s="3" t="s">
        <v>24</v>
      </c>
      <c r="C6" s="2" t="s">
        <v>23</v>
      </c>
      <c r="D6" s="3" t="s">
        <v>23</v>
      </c>
      <c r="E6" s="2" t="s">
        <v>23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3" t="s">
        <v>23</v>
      </c>
      <c r="L6" s="2" t="s">
        <v>24</v>
      </c>
      <c r="M6" s="3" t="s">
        <v>23</v>
      </c>
      <c r="N6" s="3" t="s">
        <v>23</v>
      </c>
      <c r="O6" s="3" t="s">
        <v>23</v>
      </c>
      <c r="P6" s="2" t="s">
        <v>24</v>
      </c>
      <c r="Q6" s="2" t="s">
        <v>23</v>
      </c>
      <c r="R6" s="2" t="s">
        <v>24</v>
      </c>
      <c r="S6" s="7" t="s">
        <v>23</v>
      </c>
      <c r="T6" s="7"/>
      <c r="U6" s="4" t="s">
        <v>23</v>
      </c>
      <c r="V6" s="4"/>
      <c r="W6" s="4">
        <v>0.0</v>
      </c>
      <c r="X6" s="5"/>
      <c r="Y6" s="5">
        <f t="shared" si="1"/>
        <v>9</v>
      </c>
      <c r="Z6" s="5">
        <f t="shared" si="2"/>
        <v>2411.111111</v>
      </c>
      <c r="AA6" s="5"/>
    </row>
    <row r="7">
      <c r="A7" s="8">
        <v>45629.0</v>
      </c>
      <c r="B7" s="3" t="s">
        <v>23</v>
      </c>
      <c r="C7" s="2" t="s">
        <v>23</v>
      </c>
      <c r="D7" s="3" t="s">
        <v>24</v>
      </c>
      <c r="E7" s="2" t="s">
        <v>23</v>
      </c>
      <c r="F7" s="3" t="s">
        <v>24</v>
      </c>
      <c r="G7" s="3" t="s">
        <v>24</v>
      </c>
      <c r="H7" s="3" t="s">
        <v>23</v>
      </c>
      <c r="I7" s="3" t="s">
        <v>24</v>
      </c>
      <c r="J7" s="3" t="s">
        <v>24</v>
      </c>
      <c r="K7" s="3" t="s">
        <v>23</v>
      </c>
      <c r="L7" s="2" t="s">
        <v>23</v>
      </c>
      <c r="M7" s="3" t="s">
        <v>23</v>
      </c>
      <c r="N7" s="3" t="s">
        <v>23</v>
      </c>
      <c r="O7" s="3" t="s">
        <v>24</v>
      </c>
      <c r="P7" s="2" t="s">
        <v>23</v>
      </c>
      <c r="Q7" s="2" t="s">
        <v>23</v>
      </c>
      <c r="R7" s="2" t="s">
        <v>24</v>
      </c>
      <c r="S7" s="7" t="s">
        <v>23</v>
      </c>
      <c r="T7" s="7"/>
      <c r="U7" s="4" t="s">
        <v>23</v>
      </c>
      <c r="V7" s="4"/>
      <c r="W7" s="7">
        <v>1.0</v>
      </c>
      <c r="X7" s="5"/>
      <c r="Y7" s="5">
        <f t="shared" si="1"/>
        <v>7</v>
      </c>
      <c r="Z7" s="5">
        <f t="shared" si="2"/>
        <v>2712.5</v>
      </c>
      <c r="AA7" s="5"/>
    </row>
    <row r="8">
      <c r="A8" s="6">
        <v>45636.0</v>
      </c>
      <c r="B8" s="3" t="s">
        <v>24</v>
      </c>
      <c r="C8" s="2" t="s">
        <v>24</v>
      </c>
      <c r="D8" s="3" t="s">
        <v>24</v>
      </c>
      <c r="E8" s="2" t="s">
        <v>24</v>
      </c>
      <c r="F8" s="3" t="s">
        <v>24</v>
      </c>
      <c r="G8" s="3" t="s">
        <v>24</v>
      </c>
      <c r="H8" s="3" t="s">
        <v>23</v>
      </c>
      <c r="I8" s="3" t="s">
        <v>23</v>
      </c>
      <c r="J8" s="3" t="s">
        <v>24</v>
      </c>
      <c r="K8" s="3" t="s">
        <v>23</v>
      </c>
      <c r="L8" s="2" t="s">
        <v>24</v>
      </c>
      <c r="M8" s="3" t="s">
        <v>23</v>
      </c>
      <c r="N8" s="3" t="s">
        <v>23</v>
      </c>
      <c r="O8" s="3" t="s">
        <v>23</v>
      </c>
      <c r="P8" s="2" t="s">
        <v>23</v>
      </c>
      <c r="Q8" s="2" t="s">
        <v>23</v>
      </c>
      <c r="R8" s="3" t="s">
        <v>24</v>
      </c>
      <c r="S8" s="4" t="s">
        <v>24</v>
      </c>
      <c r="T8" s="4" t="s">
        <v>24</v>
      </c>
      <c r="U8" s="4" t="s">
        <v>23</v>
      </c>
      <c r="V8" s="4"/>
      <c r="W8" s="4">
        <v>2.0</v>
      </c>
      <c r="X8" s="5"/>
      <c r="Y8" s="5">
        <f t="shared" si="1"/>
        <v>11</v>
      </c>
      <c r="Z8" s="5">
        <f t="shared" si="2"/>
        <v>1669.230769</v>
      </c>
      <c r="AA8" s="5"/>
    </row>
    <row r="9">
      <c r="A9" s="6">
        <v>45643.0</v>
      </c>
      <c r="B9" s="3" t="s">
        <v>23</v>
      </c>
      <c r="C9" s="2" t="s">
        <v>23</v>
      </c>
      <c r="D9" s="3" t="s">
        <v>24</v>
      </c>
      <c r="E9" s="2" t="s">
        <v>24</v>
      </c>
      <c r="F9" s="3" t="s">
        <v>24</v>
      </c>
      <c r="G9" s="3" t="s">
        <v>24</v>
      </c>
      <c r="H9" s="2" t="s">
        <v>24</v>
      </c>
      <c r="I9" s="3" t="s">
        <v>23</v>
      </c>
      <c r="J9" s="3" t="s">
        <v>24</v>
      </c>
      <c r="K9" s="3" t="s">
        <v>24</v>
      </c>
      <c r="L9" s="2" t="s">
        <v>23</v>
      </c>
      <c r="M9" s="3" t="s">
        <v>23</v>
      </c>
      <c r="N9" s="3" t="s">
        <v>23</v>
      </c>
      <c r="O9" s="3" t="s">
        <v>24</v>
      </c>
      <c r="P9" s="2"/>
      <c r="Q9" s="2" t="s">
        <v>23</v>
      </c>
      <c r="R9" s="2" t="s">
        <v>24</v>
      </c>
      <c r="S9" s="7" t="s">
        <v>23</v>
      </c>
      <c r="T9" s="7" t="s">
        <v>24</v>
      </c>
      <c r="U9" s="4" t="s">
        <v>24</v>
      </c>
      <c r="V9" s="4"/>
      <c r="W9" s="7"/>
      <c r="X9" s="5"/>
      <c r="Y9" s="5">
        <f t="shared" si="1"/>
        <v>11</v>
      </c>
      <c r="Z9" s="5">
        <f>(2.1*15000)/(Y9+W9)</f>
        <v>2863.636364</v>
      </c>
      <c r="AA9" s="5"/>
    </row>
    <row r="10">
      <c r="A10" s="8">
        <v>45664.0</v>
      </c>
      <c r="B10" s="1" t="s">
        <v>23</v>
      </c>
      <c r="C10" s="9" t="s">
        <v>23</v>
      </c>
      <c r="D10" s="9" t="s">
        <v>24</v>
      </c>
      <c r="E10" s="9" t="s">
        <v>23</v>
      </c>
      <c r="F10" s="1" t="s">
        <v>23</v>
      </c>
      <c r="G10" s="9" t="s">
        <v>24</v>
      </c>
      <c r="H10" s="9" t="s">
        <v>24</v>
      </c>
      <c r="I10" s="9" t="s">
        <v>24</v>
      </c>
      <c r="J10" s="1" t="s">
        <v>24</v>
      </c>
      <c r="K10" s="1" t="s">
        <v>23</v>
      </c>
      <c r="L10" s="10"/>
      <c r="M10" s="9" t="s">
        <v>23</v>
      </c>
      <c r="N10" s="9" t="s">
        <v>23</v>
      </c>
      <c r="O10" s="10"/>
      <c r="P10" s="10"/>
      <c r="Q10" s="9" t="s">
        <v>23</v>
      </c>
      <c r="R10" s="9" t="s">
        <v>24</v>
      </c>
      <c r="S10" s="11" t="s">
        <v>23</v>
      </c>
      <c r="T10" s="11" t="s">
        <v>24</v>
      </c>
      <c r="U10" s="11" t="s">
        <v>24</v>
      </c>
      <c r="V10" s="11"/>
      <c r="W10" s="5"/>
      <c r="X10" s="5"/>
      <c r="Y10" s="5">
        <f t="shared" si="1"/>
        <v>8</v>
      </c>
      <c r="Z10" s="5">
        <f t="shared" ref="Z10:Z13" si="3">(1.51*14000)/(Y10+W10)</f>
        <v>2642.5</v>
      </c>
    </row>
    <row r="11">
      <c r="A11" s="8">
        <v>45671.0</v>
      </c>
      <c r="B11" s="1" t="s">
        <v>23</v>
      </c>
      <c r="C11" s="9" t="s">
        <v>24</v>
      </c>
      <c r="D11" s="9" t="s">
        <v>24</v>
      </c>
      <c r="E11" s="9" t="s">
        <v>24</v>
      </c>
      <c r="F11" s="1" t="s">
        <v>23</v>
      </c>
      <c r="G11" s="9" t="s">
        <v>24</v>
      </c>
      <c r="H11" s="9" t="s">
        <v>23</v>
      </c>
      <c r="I11" s="9" t="s">
        <v>24</v>
      </c>
      <c r="J11" s="1" t="s">
        <v>24</v>
      </c>
      <c r="K11" s="1" t="s">
        <v>23</v>
      </c>
      <c r="L11" s="10"/>
      <c r="M11" s="9" t="s">
        <v>23</v>
      </c>
      <c r="N11" s="9" t="s">
        <v>23</v>
      </c>
      <c r="O11" s="10"/>
      <c r="P11" s="10"/>
      <c r="Q11" s="9" t="s">
        <v>23</v>
      </c>
      <c r="R11" s="9" t="s">
        <v>24</v>
      </c>
      <c r="S11" s="11" t="s">
        <v>24</v>
      </c>
      <c r="T11" s="11" t="s">
        <v>24</v>
      </c>
      <c r="U11" s="11" t="s">
        <v>24</v>
      </c>
      <c r="V11" s="11"/>
      <c r="W11" s="5"/>
      <c r="X11" s="5"/>
      <c r="Y11" s="5">
        <f t="shared" si="1"/>
        <v>10</v>
      </c>
      <c r="Z11" s="5">
        <f t="shared" si="3"/>
        <v>2114</v>
      </c>
    </row>
    <row r="12">
      <c r="A12" s="8">
        <v>45678.0</v>
      </c>
      <c r="B12" s="1" t="s">
        <v>23</v>
      </c>
      <c r="C12" s="9" t="s">
        <v>24</v>
      </c>
      <c r="D12" s="9" t="s">
        <v>23</v>
      </c>
      <c r="E12" s="9" t="s">
        <v>24</v>
      </c>
      <c r="F12" s="1" t="s">
        <v>23</v>
      </c>
      <c r="G12" s="1" t="s">
        <v>24</v>
      </c>
      <c r="H12" s="9" t="s">
        <v>23</v>
      </c>
      <c r="I12" s="1" t="s">
        <v>24</v>
      </c>
      <c r="J12" s="1" t="s">
        <v>24</v>
      </c>
      <c r="K12" s="1" t="s">
        <v>23</v>
      </c>
      <c r="L12" s="10"/>
      <c r="M12" s="9" t="s">
        <v>24</v>
      </c>
      <c r="N12" s="9" t="s">
        <v>23</v>
      </c>
      <c r="O12" s="10"/>
      <c r="P12" s="10"/>
      <c r="Q12" s="9" t="s">
        <v>23</v>
      </c>
      <c r="R12" s="9" t="s">
        <v>24</v>
      </c>
      <c r="S12" s="11" t="s">
        <v>24</v>
      </c>
      <c r="T12" s="12" t="s">
        <v>24</v>
      </c>
      <c r="U12" s="11" t="s">
        <v>24</v>
      </c>
      <c r="V12" s="11"/>
      <c r="W12" s="4">
        <v>1.0</v>
      </c>
      <c r="X12" s="5"/>
      <c r="Y12" s="5">
        <f t="shared" si="1"/>
        <v>10</v>
      </c>
      <c r="Z12" s="5">
        <f t="shared" si="3"/>
        <v>1921.818182</v>
      </c>
    </row>
    <row r="13">
      <c r="A13" s="8">
        <v>45685.0</v>
      </c>
      <c r="B13" s="1" t="s">
        <v>23</v>
      </c>
      <c r="C13" s="9" t="s">
        <v>24</v>
      </c>
      <c r="D13" s="9" t="s">
        <v>23</v>
      </c>
      <c r="E13" s="9" t="s">
        <v>23</v>
      </c>
      <c r="F13" s="1" t="s">
        <v>23</v>
      </c>
      <c r="G13" s="9" t="s">
        <v>24</v>
      </c>
      <c r="H13" s="9" t="s">
        <v>24</v>
      </c>
      <c r="I13" s="1" t="s">
        <v>24</v>
      </c>
      <c r="J13" s="1" t="s">
        <v>23</v>
      </c>
      <c r="K13" s="1" t="s">
        <v>23</v>
      </c>
      <c r="L13" s="10"/>
      <c r="M13" s="9" t="s">
        <v>24</v>
      </c>
      <c r="N13" s="9" t="s">
        <v>23</v>
      </c>
      <c r="O13" s="10"/>
      <c r="P13" s="10"/>
      <c r="Q13" s="9" t="s">
        <v>24</v>
      </c>
      <c r="R13" s="1" t="s">
        <v>23</v>
      </c>
      <c r="S13" s="11" t="s">
        <v>24</v>
      </c>
      <c r="T13" s="12" t="s">
        <v>24</v>
      </c>
      <c r="U13" s="11" t="s">
        <v>23</v>
      </c>
      <c r="V13" s="11"/>
      <c r="W13" s="4">
        <v>2.0</v>
      </c>
      <c r="X13" s="5"/>
      <c r="Y13" s="5">
        <f t="shared" si="1"/>
        <v>8</v>
      </c>
      <c r="Z13" s="5">
        <f t="shared" si="3"/>
        <v>2114</v>
      </c>
    </row>
    <row r="14">
      <c r="A14" s="8">
        <v>45692.0</v>
      </c>
      <c r="B14" s="1" t="s">
        <v>24</v>
      </c>
      <c r="C14" s="1" t="s">
        <v>23</v>
      </c>
      <c r="D14" s="9" t="s">
        <v>23</v>
      </c>
      <c r="E14" s="9" t="s">
        <v>23</v>
      </c>
      <c r="F14" s="1" t="s">
        <v>23</v>
      </c>
      <c r="G14" s="1" t="s">
        <v>24</v>
      </c>
      <c r="H14" s="9" t="s">
        <v>24</v>
      </c>
      <c r="I14" s="9" t="s">
        <v>24</v>
      </c>
      <c r="J14" s="1" t="s">
        <v>23</v>
      </c>
      <c r="K14" s="1" t="s">
        <v>23</v>
      </c>
      <c r="L14" s="10"/>
      <c r="M14" s="9" t="s">
        <v>23</v>
      </c>
      <c r="N14" s="9" t="s">
        <v>23</v>
      </c>
      <c r="O14" s="10"/>
      <c r="P14" s="10"/>
      <c r="Q14" s="1" t="s">
        <v>24</v>
      </c>
      <c r="R14" s="9" t="s">
        <v>24</v>
      </c>
      <c r="S14" s="11" t="s">
        <v>24</v>
      </c>
      <c r="T14" s="11" t="s">
        <v>23</v>
      </c>
      <c r="U14" s="11" t="s">
        <v>23</v>
      </c>
      <c r="V14" s="11"/>
      <c r="W14" s="4">
        <v>4.0</v>
      </c>
      <c r="X14" s="5"/>
      <c r="Y14" s="5">
        <f t="shared" si="1"/>
        <v>7</v>
      </c>
      <c r="Z14" s="5">
        <f t="shared" ref="Z14:Z17" si="4">(1.78*14000)/(Y14+W14)</f>
        <v>2265.454545</v>
      </c>
    </row>
    <row r="15">
      <c r="A15" s="8">
        <v>45699.0</v>
      </c>
      <c r="B15" s="1" t="s">
        <v>24</v>
      </c>
      <c r="C15" s="9" t="s">
        <v>24</v>
      </c>
      <c r="D15" s="9" t="s">
        <v>24</v>
      </c>
      <c r="E15" s="9" t="s">
        <v>23</v>
      </c>
      <c r="F15" s="1" t="s">
        <v>24</v>
      </c>
      <c r="G15" s="9" t="s">
        <v>24</v>
      </c>
      <c r="H15" s="9" t="s">
        <v>24</v>
      </c>
      <c r="I15" s="9" t="s">
        <v>24</v>
      </c>
      <c r="J15" s="1" t="s">
        <v>24</v>
      </c>
      <c r="K15" s="1" t="s">
        <v>23</v>
      </c>
      <c r="L15" s="10"/>
      <c r="M15" s="9" t="s">
        <v>23</v>
      </c>
      <c r="N15" s="9" t="s">
        <v>23</v>
      </c>
      <c r="O15" s="9" t="s">
        <v>23</v>
      </c>
      <c r="P15" s="10"/>
      <c r="Q15" s="9" t="s">
        <v>24</v>
      </c>
      <c r="R15" s="9" t="s">
        <v>24</v>
      </c>
      <c r="S15" s="11" t="s">
        <v>24</v>
      </c>
      <c r="T15" s="11" t="s">
        <v>24</v>
      </c>
      <c r="U15" s="11" t="s">
        <v>23</v>
      </c>
      <c r="V15" s="11"/>
      <c r="W15" s="4">
        <v>2.0</v>
      </c>
      <c r="X15" s="5"/>
      <c r="Y15" s="5">
        <f t="shared" si="1"/>
        <v>12</v>
      </c>
      <c r="Z15" s="5">
        <f t="shared" si="4"/>
        <v>1780</v>
      </c>
    </row>
    <row r="16">
      <c r="A16" s="8">
        <v>45706.0</v>
      </c>
      <c r="B16" s="1" t="s">
        <v>23</v>
      </c>
      <c r="C16" s="9" t="s">
        <v>24</v>
      </c>
      <c r="D16" s="9" t="s">
        <v>24</v>
      </c>
      <c r="E16" s="9" t="s">
        <v>23</v>
      </c>
      <c r="F16" s="1" t="s">
        <v>24</v>
      </c>
      <c r="G16" s="1" t="s">
        <v>24</v>
      </c>
      <c r="H16" s="9" t="s">
        <v>24</v>
      </c>
      <c r="I16" s="9" t="s">
        <v>24</v>
      </c>
      <c r="J16" s="1" t="s">
        <v>24</v>
      </c>
      <c r="K16" s="10"/>
      <c r="L16" s="10"/>
      <c r="M16" s="9" t="s">
        <v>23</v>
      </c>
      <c r="N16" s="10"/>
      <c r="O16" s="10"/>
      <c r="P16" s="10"/>
      <c r="Q16" s="9" t="s">
        <v>24</v>
      </c>
      <c r="R16" s="9" t="s">
        <v>24</v>
      </c>
      <c r="S16" s="11" t="s">
        <v>24</v>
      </c>
      <c r="T16" s="11" t="s">
        <v>23</v>
      </c>
      <c r="U16" s="11" t="s">
        <v>24</v>
      </c>
      <c r="V16" s="11"/>
      <c r="W16" s="4">
        <v>1.0</v>
      </c>
      <c r="X16" s="5"/>
      <c r="Y16" s="5">
        <f t="shared" si="1"/>
        <v>11</v>
      </c>
      <c r="Z16" s="5">
        <f t="shared" si="4"/>
        <v>2076.666667</v>
      </c>
    </row>
    <row r="17">
      <c r="A17" s="8">
        <v>45713.0</v>
      </c>
      <c r="B17" s="9" t="s">
        <v>23</v>
      </c>
      <c r="C17" s="9" t="s">
        <v>24</v>
      </c>
      <c r="D17" s="9" t="s">
        <v>24</v>
      </c>
      <c r="E17" s="9" t="s">
        <v>23</v>
      </c>
      <c r="F17" s="1" t="s">
        <v>24</v>
      </c>
      <c r="G17" s="1" t="s">
        <v>24</v>
      </c>
      <c r="H17" s="9" t="s">
        <v>24</v>
      </c>
      <c r="I17" s="1" t="s">
        <v>24</v>
      </c>
      <c r="J17" s="1" t="s">
        <v>24</v>
      </c>
      <c r="K17" s="10"/>
      <c r="L17" s="10"/>
      <c r="M17" s="10"/>
      <c r="N17" s="10"/>
      <c r="O17" s="10"/>
      <c r="P17" s="10"/>
      <c r="Q17" s="1" t="s">
        <v>23</v>
      </c>
      <c r="R17" s="9" t="s">
        <v>24</v>
      </c>
      <c r="S17" s="11" t="s">
        <v>23</v>
      </c>
      <c r="T17" s="11" t="s">
        <v>24</v>
      </c>
      <c r="U17" s="11" t="s">
        <v>24</v>
      </c>
      <c r="V17" s="11"/>
      <c r="W17" s="5"/>
      <c r="X17" s="5"/>
      <c r="Y17" s="5">
        <f t="shared" si="1"/>
        <v>10</v>
      </c>
      <c r="Z17" s="5">
        <f t="shared" si="4"/>
        <v>2492</v>
      </c>
    </row>
    <row r="18">
      <c r="A18" s="8">
        <v>45720.0</v>
      </c>
      <c r="B18" s="1">
        <v>1.0</v>
      </c>
      <c r="C18" s="1">
        <v>0.0</v>
      </c>
      <c r="D18" s="1">
        <v>0.0</v>
      </c>
      <c r="E18" s="1">
        <v>0.0</v>
      </c>
      <c r="F18" s="1">
        <v>1.0</v>
      </c>
      <c r="G18" s="1">
        <v>2.0</v>
      </c>
      <c r="H18" s="1">
        <v>1.0</v>
      </c>
      <c r="I18" s="1">
        <v>1.0</v>
      </c>
      <c r="J18" s="1">
        <v>1.0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1.0</v>
      </c>
      <c r="R18" s="1">
        <v>2.0</v>
      </c>
      <c r="S18" s="1">
        <v>1.0</v>
      </c>
      <c r="T18" s="1">
        <v>0.0</v>
      </c>
      <c r="U18" s="1">
        <v>1.0</v>
      </c>
      <c r="V18" s="11"/>
      <c r="W18" s="4" t="s">
        <v>25</v>
      </c>
      <c r="X18" s="5"/>
      <c r="Y18" s="5">
        <f t="shared" ref="Y18:Y30" si="5">SUM(B18:U18)</f>
        <v>12</v>
      </c>
      <c r="Z18" s="13">
        <f t="shared" ref="Z18:Z21" si="6">(1.6875*14000)/(Y18)</f>
        <v>1968.75</v>
      </c>
    </row>
    <row r="19">
      <c r="A19" s="8">
        <v>45727.0</v>
      </c>
      <c r="B19" s="1">
        <v>0.0</v>
      </c>
      <c r="C19" s="1">
        <v>0.0</v>
      </c>
      <c r="D19" s="1">
        <v>1.0</v>
      </c>
      <c r="E19" s="1">
        <v>0.0</v>
      </c>
      <c r="F19" s="1">
        <v>1.0</v>
      </c>
      <c r="G19" s="1">
        <v>1.0</v>
      </c>
      <c r="H19" s="1">
        <v>1.0</v>
      </c>
      <c r="I19" s="1">
        <v>1.0</v>
      </c>
      <c r="J19" s="1">
        <v>1.0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1.0</v>
      </c>
      <c r="R19" s="1">
        <v>0.0</v>
      </c>
      <c r="S19" s="1">
        <v>1.0</v>
      </c>
      <c r="T19" s="1">
        <v>0.0</v>
      </c>
      <c r="U19" s="1">
        <v>1.0</v>
      </c>
      <c r="V19" s="11"/>
      <c r="W19" s="5"/>
      <c r="X19" s="5"/>
      <c r="Y19" s="5">
        <f t="shared" si="5"/>
        <v>9</v>
      </c>
      <c r="Z19" s="13">
        <f t="shared" si="6"/>
        <v>2625</v>
      </c>
    </row>
    <row r="20">
      <c r="A20" s="8">
        <v>45734.0</v>
      </c>
      <c r="B20" s="1">
        <v>0.0</v>
      </c>
      <c r="C20" s="1">
        <v>1.0</v>
      </c>
      <c r="D20" s="1">
        <v>1.0</v>
      </c>
      <c r="E20" s="1">
        <v>1.0</v>
      </c>
      <c r="F20" s="1">
        <v>1.0</v>
      </c>
      <c r="G20" s="1">
        <v>2.0</v>
      </c>
      <c r="H20" s="1">
        <v>1.0</v>
      </c>
      <c r="I20" s="1">
        <v>1.0</v>
      </c>
      <c r="J20" s="1">
        <v>1.0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1.0</v>
      </c>
      <c r="R20" s="1">
        <v>1.0</v>
      </c>
      <c r="S20" s="1">
        <v>1.0</v>
      </c>
      <c r="T20" s="1">
        <v>0.0</v>
      </c>
      <c r="U20" s="1">
        <v>1.0</v>
      </c>
      <c r="V20" s="11"/>
      <c r="W20" s="5"/>
      <c r="X20" s="5"/>
      <c r="Y20" s="5">
        <f t="shared" si="5"/>
        <v>13</v>
      </c>
      <c r="Z20" s="13">
        <f t="shared" si="6"/>
        <v>1817.307692</v>
      </c>
    </row>
    <row r="21">
      <c r="A21" s="8">
        <v>45741.0</v>
      </c>
      <c r="B21" s="1">
        <v>0.0</v>
      </c>
      <c r="C21" s="1">
        <v>1.0</v>
      </c>
      <c r="D21" s="1">
        <v>1.0</v>
      </c>
      <c r="E21" s="1">
        <v>0.0</v>
      </c>
      <c r="F21" s="1">
        <v>1.0</v>
      </c>
      <c r="G21" s="1">
        <v>1.0</v>
      </c>
      <c r="H21" s="1">
        <v>1.0</v>
      </c>
      <c r="I21" s="1">
        <v>1.0</v>
      </c>
      <c r="J21" s="1">
        <v>1.0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1.0</v>
      </c>
      <c r="R21" s="1">
        <v>2.0</v>
      </c>
      <c r="S21" s="1">
        <v>1.0</v>
      </c>
      <c r="T21" s="1">
        <v>1.0</v>
      </c>
      <c r="U21" s="1">
        <v>1.0</v>
      </c>
      <c r="V21" s="11"/>
      <c r="W21" s="5"/>
      <c r="X21" s="5"/>
      <c r="Y21" s="5">
        <f t="shared" si="5"/>
        <v>13</v>
      </c>
      <c r="Z21" s="13">
        <f t="shared" si="6"/>
        <v>1817.307692</v>
      </c>
    </row>
    <row r="22">
      <c r="A22" s="8">
        <v>45748.0</v>
      </c>
      <c r="B22" s="1">
        <v>0.0</v>
      </c>
      <c r="C22" s="1">
        <v>1.0</v>
      </c>
      <c r="D22" s="1">
        <v>0.0</v>
      </c>
      <c r="E22" s="1">
        <v>0.0</v>
      </c>
      <c r="F22" s="1">
        <v>1.0</v>
      </c>
      <c r="G22" s="1">
        <v>3.0</v>
      </c>
      <c r="H22" s="1">
        <v>1.0</v>
      </c>
      <c r="I22" s="1">
        <v>1.0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>
        <v>1.0</v>
      </c>
      <c r="T22" s="1">
        <v>0.0</v>
      </c>
      <c r="U22" s="1">
        <v>1.0</v>
      </c>
      <c r="V22" s="11"/>
      <c r="W22" s="4" t="s">
        <v>26</v>
      </c>
      <c r="X22" s="5"/>
      <c r="Y22" s="5">
        <f t="shared" si="5"/>
        <v>10</v>
      </c>
      <c r="Z22" s="13">
        <f t="shared" ref="Z22:Z26" si="7">(1.604*14000)/(Y22)</f>
        <v>2245.6</v>
      </c>
    </row>
    <row r="23">
      <c r="A23" s="8">
        <v>45755.0</v>
      </c>
      <c r="B23" s="1">
        <v>0.0</v>
      </c>
      <c r="C23" s="1">
        <v>0.0</v>
      </c>
      <c r="D23" s="1">
        <v>1.0</v>
      </c>
      <c r="E23" s="1">
        <v>0.0</v>
      </c>
      <c r="F23" s="1">
        <v>0.0</v>
      </c>
      <c r="G23" s="1">
        <v>2.0</v>
      </c>
      <c r="H23" s="1">
        <v>1.0</v>
      </c>
      <c r="I23" s="1">
        <v>1.0</v>
      </c>
      <c r="J23" s="1">
        <v>1.0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3.0</v>
      </c>
      <c r="S23" s="1">
        <v>0.0</v>
      </c>
      <c r="T23" s="1">
        <v>1.0</v>
      </c>
      <c r="U23" s="1">
        <v>1.0</v>
      </c>
      <c r="V23" s="11"/>
      <c r="W23" s="4" t="s">
        <v>27</v>
      </c>
      <c r="X23" s="5"/>
      <c r="Y23" s="5">
        <f t="shared" si="5"/>
        <v>11</v>
      </c>
      <c r="Z23" s="13">
        <f t="shared" si="7"/>
        <v>2041.454545</v>
      </c>
    </row>
    <row r="24">
      <c r="A24" s="8">
        <v>45762.0</v>
      </c>
      <c r="B24" s="1">
        <v>0.0</v>
      </c>
      <c r="C24" s="1">
        <v>0.0</v>
      </c>
      <c r="D24" s="1">
        <v>1.0</v>
      </c>
      <c r="E24" s="1">
        <v>2.0</v>
      </c>
      <c r="F24" s="1">
        <v>1.0</v>
      </c>
      <c r="G24" s="1">
        <v>1.0</v>
      </c>
      <c r="H24" s="1">
        <v>1.0</v>
      </c>
      <c r="I24" s="1">
        <v>1.0</v>
      </c>
      <c r="J24" s="1">
        <v>1.0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1.0</v>
      </c>
      <c r="R24" s="1">
        <v>2.0</v>
      </c>
      <c r="S24" s="1">
        <v>0.0</v>
      </c>
      <c r="T24" s="1">
        <v>0.0</v>
      </c>
      <c r="U24" s="1">
        <v>1.0</v>
      </c>
      <c r="V24" s="11"/>
      <c r="W24" s="7" t="s">
        <v>28</v>
      </c>
      <c r="X24" s="5"/>
      <c r="Y24" s="5">
        <f t="shared" si="5"/>
        <v>12</v>
      </c>
      <c r="Z24" s="13">
        <f t="shared" si="7"/>
        <v>1871.333333</v>
      </c>
    </row>
    <row r="25">
      <c r="A25" s="8">
        <v>45769.0</v>
      </c>
      <c r="B25" s="1">
        <v>0.0</v>
      </c>
      <c r="C25" s="1">
        <v>1.0</v>
      </c>
      <c r="D25" s="1">
        <v>0.0</v>
      </c>
      <c r="E25" s="1">
        <v>0.0</v>
      </c>
      <c r="F25" s="1">
        <v>0.0</v>
      </c>
      <c r="G25" s="1">
        <v>0.0</v>
      </c>
      <c r="H25" s="1">
        <v>1.0</v>
      </c>
      <c r="I25" s="1">
        <v>1.0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1.0</v>
      </c>
      <c r="R25" s="1">
        <v>4.0</v>
      </c>
      <c r="S25" s="1">
        <v>1.0</v>
      </c>
      <c r="T25" s="1">
        <v>0.0</v>
      </c>
      <c r="U25" s="1">
        <v>1.0</v>
      </c>
      <c r="V25" s="11"/>
      <c r="W25" s="7" t="s">
        <v>29</v>
      </c>
      <c r="X25" s="5"/>
      <c r="Y25" s="5">
        <f t="shared" si="5"/>
        <v>10</v>
      </c>
      <c r="Z25" s="13">
        <f t="shared" si="7"/>
        <v>2245.6</v>
      </c>
    </row>
    <row r="26">
      <c r="A26" s="8">
        <v>45776.0</v>
      </c>
      <c r="B26" s="1">
        <v>0.0</v>
      </c>
      <c r="C26" s="1">
        <v>0.0</v>
      </c>
      <c r="D26" s="1">
        <v>1.0</v>
      </c>
      <c r="E26" s="1">
        <v>0.0</v>
      </c>
      <c r="F26" s="1">
        <v>1.0</v>
      </c>
      <c r="G26" s="1">
        <v>2.0</v>
      </c>
      <c r="H26" s="1">
        <v>1.0</v>
      </c>
      <c r="I26" s="1">
        <v>1.0</v>
      </c>
      <c r="J26" s="1">
        <v>1.0</v>
      </c>
      <c r="K26" s="1">
        <v>0.0</v>
      </c>
      <c r="L26" s="1">
        <v>1.0</v>
      </c>
      <c r="M26" s="1">
        <v>0.0</v>
      </c>
      <c r="N26" s="1">
        <v>0.0</v>
      </c>
      <c r="O26" s="1">
        <v>0.0</v>
      </c>
      <c r="P26" s="1">
        <v>1.0</v>
      </c>
      <c r="Q26" s="1">
        <v>1.0</v>
      </c>
      <c r="R26" s="1">
        <v>1.0</v>
      </c>
      <c r="S26" s="1">
        <v>0.0</v>
      </c>
      <c r="T26" s="1">
        <v>1.0</v>
      </c>
      <c r="U26" s="1">
        <v>1.0</v>
      </c>
      <c r="V26" s="11"/>
      <c r="W26" s="4" t="s">
        <v>30</v>
      </c>
      <c r="X26" s="5"/>
      <c r="Y26" s="5">
        <f t="shared" si="5"/>
        <v>13</v>
      </c>
      <c r="Z26" s="13">
        <f t="shared" si="7"/>
        <v>1727.384615</v>
      </c>
    </row>
    <row r="27">
      <c r="A27" s="8">
        <v>45783.0</v>
      </c>
      <c r="B27" s="1">
        <v>0.0</v>
      </c>
      <c r="C27" s="1">
        <v>1.0</v>
      </c>
      <c r="D27" s="1">
        <v>1.0</v>
      </c>
      <c r="E27" s="1">
        <v>0.0</v>
      </c>
      <c r="F27" s="1">
        <v>1.0</v>
      </c>
      <c r="G27" s="1">
        <v>1.0</v>
      </c>
      <c r="H27" s="1">
        <v>1.0</v>
      </c>
      <c r="I27" s="1">
        <v>1.0</v>
      </c>
      <c r="J27" s="1">
        <v>1.0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1.0</v>
      </c>
      <c r="U27" s="1">
        <v>1.0</v>
      </c>
      <c r="V27" s="11"/>
      <c r="W27" s="5"/>
      <c r="X27" s="5"/>
      <c r="Y27" s="5">
        <f t="shared" si="5"/>
        <v>9</v>
      </c>
      <c r="Z27" s="13">
        <f t="shared" ref="Z27:Z30" si="8">(1.65*14000)/(Y27)</f>
        <v>2566.666667</v>
      </c>
    </row>
    <row r="28">
      <c r="A28" s="8">
        <v>45790.0</v>
      </c>
      <c r="B28" s="1">
        <v>0.0</v>
      </c>
      <c r="C28" s="1">
        <v>0.0</v>
      </c>
      <c r="D28" s="1">
        <v>1.0</v>
      </c>
      <c r="E28" s="1">
        <v>0.0</v>
      </c>
      <c r="F28" s="1">
        <v>1.0</v>
      </c>
      <c r="G28" s="1">
        <v>1.0</v>
      </c>
      <c r="H28" s="1">
        <v>0.0</v>
      </c>
      <c r="I28" s="1">
        <v>0.0</v>
      </c>
      <c r="J28" s="1">
        <v>1.0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3.0</v>
      </c>
      <c r="S28" s="1">
        <v>1.0</v>
      </c>
      <c r="T28" s="1">
        <v>0.0</v>
      </c>
      <c r="U28" s="1">
        <v>1.0</v>
      </c>
      <c r="V28" s="11"/>
      <c r="W28" s="4" t="s">
        <v>31</v>
      </c>
      <c r="Y28" s="5">
        <f t="shared" si="5"/>
        <v>9</v>
      </c>
      <c r="Z28" s="13">
        <f t="shared" si="8"/>
        <v>2566.666667</v>
      </c>
    </row>
    <row r="29">
      <c r="A29" s="8">
        <v>45797.0</v>
      </c>
      <c r="B29" s="1">
        <v>0.0</v>
      </c>
      <c r="C29" s="1">
        <v>1.0</v>
      </c>
      <c r="D29" s="1">
        <v>0.0</v>
      </c>
      <c r="E29" s="1">
        <v>0.0</v>
      </c>
      <c r="F29" s="1">
        <v>0.0</v>
      </c>
      <c r="G29" s="1">
        <v>1.0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1.0</v>
      </c>
      <c r="R29" s="1">
        <v>5.0</v>
      </c>
      <c r="S29" s="1">
        <v>0.0</v>
      </c>
      <c r="T29" s="1">
        <v>0.0</v>
      </c>
      <c r="U29" s="1">
        <v>0.0</v>
      </c>
      <c r="V29" s="11"/>
      <c r="W29" s="7" t="s">
        <v>32</v>
      </c>
      <c r="X29" s="5"/>
      <c r="Y29" s="5">
        <f t="shared" si="5"/>
        <v>9</v>
      </c>
      <c r="Z29" s="13">
        <f t="shared" si="8"/>
        <v>2566.666667</v>
      </c>
    </row>
    <row r="30">
      <c r="A30" s="8">
        <v>45804.0</v>
      </c>
      <c r="B30" s="1">
        <v>0.0</v>
      </c>
      <c r="C30" s="1">
        <v>1.0</v>
      </c>
      <c r="D30" s="1">
        <v>1.0</v>
      </c>
      <c r="E30" s="1">
        <v>2.0</v>
      </c>
      <c r="F30" s="1">
        <v>1.0</v>
      </c>
      <c r="G30" s="1">
        <v>1.0</v>
      </c>
      <c r="H30" s="1">
        <v>1.0</v>
      </c>
      <c r="I30" s="1">
        <v>1.0</v>
      </c>
      <c r="J30" s="1">
        <v>1.0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1.0</v>
      </c>
      <c r="R30" s="1">
        <v>0.0</v>
      </c>
      <c r="S30" s="1">
        <v>2.0</v>
      </c>
      <c r="T30" s="1">
        <v>1.0</v>
      </c>
      <c r="U30" s="1">
        <v>1.0</v>
      </c>
      <c r="V30" s="11"/>
      <c r="W30" s="4" t="s">
        <v>33</v>
      </c>
      <c r="X30" s="5"/>
      <c r="Y30" s="5">
        <f t="shared" si="5"/>
        <v>14</v>
      </c>
      <c r="Z30" s="13">
        <f t="shared" si="8"/>
        <v>1650</v>
      </c>
    </row>
    <row r="31">
      <c r="A31" s="8">
        <v>45811.0</v>
      </c>
      <c r="B31" s="1">
        <v>0.0</v>
      </c>
      <c r="C31" s="1">
        <v>0.0</v>
      </c>
      <c r="D31" s="1">
        <v>0.0</v>
      </c>
      <c r="E31" s="1">
        <v>0.0</v>
      </c>
      <c r="F31" s="1">
        <v>1.0</v>
      </c>
      <c r="G31" s="1">
        <v>1.0</v>
      </c>
      <c r="H31" s="1">
        <v>1.0</v>
      </c>
      <c r="I31" s="1">
        <v>1.0</v>
      </c>
      <c r="J31" s="1">
        <v>1.0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1.0</v>
      </c>
      <c r="R31" s="1">
        <v>3.0</v>
      </c>
      <c r="S31" s="1">
        <v>0.0</v>
      </c>
      <c r="T31" s="1">
        <v>1.0</v>
      </c>
      <c r="U31" s="1">
        <v>1.0</v>
      </c>
      <c r="V31" s="11"/>
      <c r="W31" s="7" t="s">
        <v>34</v>
      </c>
      <c r="X31" s="5"/>
      <c r="Y31" s="5">
        <f t="shared" ref="Y31:Y101" si="9">SUM(B31:V31)</f>
        <v>11</v>
      </c>
      <c r="Z31" s="13">
        <f t="shared" ref="Z31:Z34" si="10">(1.6975*14000)/(Y31)</f>
        <v>2160.454545</v>
      </c>
    </row>
    <row r="32">
      <c r="A32" s="8">
        <v>45818.0</v>
      </c>
      <c r="B32" s="1">
        <v>0.0</v>
      </c>
      <c r="C32" s="1">
        <v>1.0</v>
      </c>
      <c r="D32" s="1">
        <v>0.0</v>
      </c>
      <c r="E32" s="1">
        <v>0.0</v>
      </c>
      <c r="F32" s="1">
        <v>1.0</v>
      </c>
      <c r="G32" s="1">
        <v>1.0</v>
      </c>
      <c r="H32" s="1">
        <v>1.0</v>
      </c>
      <c r="I32" s="1">
        <v>1.0</v>
      </c>
      <c r="J32" s="1">
        <v>1.0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4.0</v>
      </c>
      <c r="S32" s="1">
        <v>1.0</v>
      </c>
      <c r="T32" s="1">
        <v>0.0</v>
      </c>
      <c r="U32" s="1">
        <v>1.0</v>
      </c>
      <c r="V32" s="11"/>
      <c r="W32" s="4" t="s">
        <v>35</v>
      </c>
      <c r="X32" s="5"/>
      <c r="Y32" s="5">
        <f t="shared" si="9"/>
        <v>13</v>
      </c>
      <c r="Z32" s="13">
        <f t="shared" si="10"/>
        <v>1828.076923</v>
      </c>
    </row>
    <row r="33">
      <c r="A33" s="8">
        <v>45825.0</v>
      </c>
      <c r="B33" s="1">
        <v>0.0</v>
      </c>
      <c r="C33" s="1">
        <v>1.0</v>
      </c>
      <c r="D33" s="1">
        <v>1.0</v>
      </c>
      <c r="E33" s="1">
        <v>0.0</v>
      </c>
      <c r="F33" s="1">
        <v>1.0</v>
      </c>
      <c r="G33" s="1">
        <v>1.0</v>
      </c>
      <c r="H33" s="1">
        <v>1.0</v>
      </c>
      <c r="I33" s="1">
        <v>1.0</v>
      </c>
      <c r="J33" s="1">
        <v>1.0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1.0</v>
      </c>
      <c r="R33" s="1">
        <v>2.0</v>
      </c>
      <c r="S33" s="1">
        <v>1.0</v>
      </c>
      <c r="T33" s="1">
        <v>0.0</v>
      </c>
      <c r="U33" s="1">
        <v>1.0</v>
      </c>
      <c r="V33" s="11"/>
      <c r="W33" s="4" t="s">
        <v>36</v>
      </c>
      <c r="X33" s="5"/>
      <c r="Y33" s="5">
        <f t="shared" si="9"/>
        <v>12</v>
      </c>
      <c r="Z33" s="13">
        <f t="shared" si="10"/>
        <v>1980.416667</v>
      </c>
    </row>
    <row r="34">
      <c r="A34" s="8">
        <v>45832.0</v>
      </c>
      <c r="B34" s="1">
        <v>0.0</v>
      </c>
      <c r="C34" s="1">
        <v>1.0</v>
      </c>
      <c r="D34" s="1">
        <v>1.0</v>
      </c>
      <c r="E34" s="1">
        <v>0.0</v>
      </c>
      <c r="F34" s="1">
        <v>1.0</v>
      </c>
      <c r="G34" s="1">
        <v>1.0</v>
      </c>
      <c r="H34" s="1">
        <v>1.0</v>
      </c>
      <c r="I34" s="1">
        <v>1.0</v>
      </c>
      <c r="J34" s="1">
        <v>1.0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1.0</v>
      </c>
      <c r="R34" s="1">
        <v>1.0</v>
      </c>
      <c r="S34" s="1">
        <v>2.0</v>
      </c>
      <c r="T34" s="1">
        <v>1.0</v>
      </c>
      <c r="U34" s="1">
        <v>1.0</v>
      </c>
      <c r="V34" s="11">
        <v>1.0</v>
      </c>
      <c r="W34" s="4" t="s">
        <v>37</v>
      </c>
      <c r="X34" s="5"/>
      <c r="Y34" s="5">
        <f t="shared" si="9"/>
        <v>14</v>
      </c>
      <c r="Z34" s="13">
        <f t="shared" si="10"/>
        <v>1697.5</v>
      </c>
    </row>
    <row r="35">
      <c r="A35" s="8">
        <v>45839.0</v>
      </c>
      <c r="B35" s="1">
        <v>0.0</v>
      </c>
      <c r="C35" s="1">
        <v>1.0</v>
      </c>
      <c r="D35" s="1">
        <v>1.0</v>
      </c>
      <c r="E35" s="1">
        <v>2.0</v>
      </c>
      <c r="F35" s="1">
        <v>1.0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1.0</v>
      </c>
      <c r="R35" s="1">
        <v>2.0</v>
      </c>
      <c r="S35" s="1">
        <v>0.0</v>
      </c>
      <c r="T35" s="1">
        <v>0.0</v>
      </c>
      <c r="U35" s="1">
        <v>1.0</v>
      </c>
      <c r="V35" s="11">
        <v>1.0</v>
      </c>
      <c r="W35" s="4" t="s">
        <v>38</v>
      </c>
      <c r="X35" s="5"/>
      <c r="Y35" s="5">
        <f t="shared" si="9"/>
        <v>15</v>
      </c>
      <c r="Z35" s="13">
        <f t="shared" ref="Z35:Z39" si="11">(1.724*14000)/(Y35)</f>
        <v>1609.066667</v>
      </c>
    </row>
    <row r="36">
      <c r="A36" s="8">
        <v>45846.0</v>
      </c>
      <c r="B36" s="1">
        <v>0.0</v>
      </c>
      <c r="C36" s="1">
        <v>0.0</v>
      </c>
      <c r="D36" s="1">
        <v>1.0</v>
      </c>
      <c r="E36" s="1">
        <v>0.0</v>
      </c>
      <c r="F36" s="1">
        <v>2.0</v>
      </c>
      <c r="G36" s="1">
        <v>2.0</v>
      </c>
      <c r="H36" s="1">
        <v>0.0</v>
      </c>
      <c r="I36" s="1">
        <v>1.0</v>
      </c>
      <c r="J36" s="1">
        <v>2.0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3.0</v>
      </c>
      <c r="S36" s="1">
        <v>1.0</v>
      </c>
      <c r="T36" s="1">
        <v>1.0</v>
      </c>
      <c r="U36" s="1">
        <v>1.0</v>
      </c>
      <c r="V36" s="11">
        <v>1.0</v>
      </c>
      <c r="W36" s="4" t="s">
        <v>39</v>
      </c>
      <c r="X36" s="5"/>
      <c r="Y36" s="5">
        <f t="shared" si="9"/>
        <v>15</v>
      </c>
      <c r="Z36" s="13">
        <f t="shared" si="11"/>
        <v>1609.066667</v>
      </c>
    </row>
    <row r="37">
      <c r="A37" s="8">
        <v>45853.0</v>
      </c>
      <c r="B37" s="1">
        <v>0.0</v>
      </c>
      <c r="C37" s="1">
        <v>1.0</v>
      </c>
      <c r="D37" s="1">
        <v>0.0</v>
      </c>
      <c r="E37" s="1">
        <v>0.0</v>
      </c>
      <c r="F37" s="1">
        <v>2.0</v>
      </c>
      <c r="G37" s="1">
        <v>2.0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1.0</v>
      </c>
      <c r="R37" s="1">
        <v>0.0</v>
      </c>
      <c r="S37" s="1">
        <v>3.0</v>
      </c>
      <c r="T37" s="1">
        <v>1.0</v>
      </c>
      <c r="U37" s="1">
        <v>1.0</v>
      </c>
      <c r="V37" s="11">
        <v>1.0</v>
      </c>
      <c r="W37" s="4" t="s">
        <v>40</v>
      </c>
      <c r="X37" s="5"/>
      <c r="Y37" s="5">
        <f t="shared" si="9"/>
        <v>12</v>
      </c>
      <c r="Z37" s="13">
        <f t="shared" si="11"/>
        <v>2011.333333</v>
      </c>
    </row>
    <row r="38">
      <c r="A38" s="8">
        <v>45860.0</v>
      </c>
      <c r="B38" s="1">
        <v>0.0</v>
      </c>
      <c r="C38" s="1">
        <v>1.0</v>
      </c>
      <c r="D38" s="1">
        <v>1.0</v>
      </c>
      <c r="E38" s="1">
        <v>0.0</v>
      </c>
      <c r="F38" s="1">
        <v>2.0</v>
      </c>
      <c r="G38" s="1">
        <v>0.0</v>
      </c>
      <c r="H38" s="1">
        <v>0.0</v>
      </c>
      <c r="I38" s="1">
        <v>0.0</v>
      </c>
      <c r="J38" s="1">
        <v>1.0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6.0</v>
      </c>
      <c r="S38" s="1">
        <v>0.0</v>
      </c>
      <c r="T38" s="1">
        <v>0.0</v>
      </c>
      <c r="U38" s="1">
        <v>1.0</v>
      </c>
      <c r="V38" s="11"/>
      <c r="W38" s="7" t="s">
        <v>41</v>
      </c>
      <c r="X38" s="5"/>
      <c r="Y38" s="5">
        <f t="shared" si="9"/>
        <v>12</v>
      </c>
      <c r="Z38" s="13">
        <f t="shared" si="11"/>
        <v>2011.333333</v>
      </c>
    </row>
    <row r="39">
      <c r="A39" s="8">
        <v>45867.0</v>
      </c>
      <c r="B39" s="1">
        <v>0.0</v>
      </c>
      <c r="C39" s="1">
        <v>0.0</v>
      </c>
      <c r="D39" s="1">
        <v>3.0</v>
      </c>
      <c r="E39" s="1">
        <v>2.0</v>
      </c>
      <c r="F39" s="1">
        <v>1.0</v>
      </c>
      <c r="G39" s="1">
        <v>1.0</v>
      </c>
      <c r="H39" s="1">
        <v>1.0</v>
      </c>
      <c r="I39" s="1">
        <v>1.0</v>
      </c>
      <c r="J39" s="1">
        <v>1.0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1.0</v>
      </c>
      <c r="V39" s="11">
        <v>1.0</v>
      </c>
      <c r="W39" s="4" t="s">
        <v>42</v>
      </c>
      <c r="X39" s="5"/>
      <c r="Y39" s="5">
        <f t="shared" si="9"/>
        <v>12</v>
      </c>
      <c r="Z39" s="13">
        <f t="shared" si="11"/>
        <v>2011.333333</v>
      </c>
    </row>
    <row r="40">
      <c r="A40" s="8">
        <v>45874.0</v>
      </c>
      <c r="B40" s="1">
        <v>0.0</v>
      </c>
      <c r="C40" s="1">
        <v>0.0</v>
      </c>
      <c r="D40" s="1">
        <v>4.0</v>
      </c>
      <c r="E40" s="1">
        <v>3.0</v>
      </c>
      <c r="F40" s="1">
        <v>1.0</v>
      </c>
      <c r="G40" s="1">
        <v>0.0</v>
      </c>
      <c r="H40" s="1">
        <v>1.0</v>
      </c>
      <c r="I40" s="1">
        <v>0.0</v>
      </c>
      <c r="J40" s="1">
        <v>1.0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1.0</v>
      </c>
      <c r="R40" s="1">
        <v>1.0</v>
      </c>
      <c r="S40" s="1">
        <v>0.0</v>
      </c>
      <c r="T40" s="1">
        <v>1.0</v>
      </c>
      <c r="U40" s="1">
        <v>0.0</v>
      </c>
      <c r="V40" s="11"/>
      <c r="W40" s="14" t="s">
        <v>43</v>
      </c>
      <c r="Y40" s="5">
        <f t="shared" si="9"/>
        <v>13</v>
      </c>
      <c r="Z40" s="13">
        <f t="shared" ref="Z40:Z41" si="12">(1.715*14000)/(Y40)</f>
        <v>1846.923077</v>
      </c>
      <c r="AA40" s="15">
        <f t="shared" ref="AA40:AA43" si="13">Z40*Y40</f>
        <v>24010</v>
      </c>
    </row>
    <row r="41">
      <c r="A41" s="8">
        <v>45881.0</v>
      </c>
      <c r="B41" s="1">
        <v>0.0</v>
      </c>
      <c r="C41" s="1">
        <v>0.0</v>
      </c>
      <c r="D41" s="1">
        <v>0.0</v>
      </c>
      <c r="E41" s="1">
        <v>0.0</v>
      </c>
      <c r="F41" s="1">
        <v>1.0</v>
      </c>
      <c r="G41" s="1">
        <v>1.0</v>
      </c>
      <c r="H41" s="1">
        <v>1.0</v>
      </c>
      <c r="I41" s="1">
        <v>1.0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4.0</v>
      </c>
      <c r="S41" s="1">
        <v>2.0</v>
      </c>
      <c r="T41" s="1">
        <v>0.0</v>
      </c>
      <c r="U41" s="1">
        <v>1.0</v>
      </c>
      <c r="V41" s="11">
        <v>1.0</v>
      </c>
      <c r="W41" s="14" t="s">
        <v>44</v>
      </c>
      <c r="Y41" s="5">
        <f t="shared" si="9"/>
        <v>12</v>
      </c>
      <c r="Z41" s="13">
        <f t="shared" si="12"/>
        <v>2000.833333</v>
      </c>
      <c r="AA41" s="15">
        <f t="shared" si="13"/>
        <v>24010</v>
      </c>
    </row>
    <row r="42">
      <c r="A42" s="8">
        <v>45888.0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1"/>
      <c r="W42" s="14" t="s">
        <v>45</v>
      </c>
      <c r="Y42" s="5">
        <f t="shared" si="9"/>
        <v>0</v>
      </c>
      <c r="Z42" s="13" t="str">
        <f>(1.78*14000)/(Y42)</f>
        <v>#DIV/0!</v>
      </c>
      <c r="AA42" s="15" t="str">
        <f t="shared" si="13"/>
        <v>#DIV/0!</v>
      </c>
    </row>
    <row r="43">
      <c r="A43" s="8">
        <v>45895.0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1.0</v>
      </c>
      <c r="H43" s="1">
        <v>0.0</v>
      </c>
      <c r="I43" s="1">
        <v>1.0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6.0</v>
      </c>
      <c r="S43" s="1">
        <v>3.0</v>
      </c>
      <c r="T43" s="1">
        <v>0.0</v>
      </c>
      <c r="U43" s="1">
        <v>1.0</v>
      </c>
      <c r="V43" s="11"/>
      <c r="W43" s="14" t="s">
        <v>46</v>
      </c>
      <c r="Y43" s="5">
        <f t="shared" si="9"/>
        <v>12</v>
      </c>
      <c r="Z43" s="13">
        <f>(1.715*14000)/(Y43)</f>
        <v>2000.833333</v>
      </c>
      <c r="AA43" s="15">
        <f t="shared" si="13"/>
        <v>24010</v>
      </c>
    </row>
    <row r="44">
      <c r="A44" s="8">
        <v>45902.0</v>
      </c>
      <c r="B44" s="1">
        <v>0.0</v>
      </c>
      <c r="C44" s="1">
        <v>1.0</v>
      </c>
      <c r="D44" s="1">
        <v>1.0</v>
      </c>
      <c r="E44" s="1">
        <v>0.0</v>
      </c>
      <c r="F44" s="1">
        <v>0.0</v>
      </c>
      <c r="G44" s="1">
        <v>1.0</v>
      </c>
      <c r="H44" s="1">
        <v>0.0</v>
      </c>
      <c r="I44" s="1">
        <v>1.0</v>
      </c>
      <c r="J44" s="1">
        <v>1.0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4.0</v>
      </c>
      <c r="S44" s="1">
        <v>2.0</v>
      </c>
      <c r="T44" s="1">
        <v>0.0</v>
      </c>
      <c r="U44" s="1">
        <v>0.0</v>
      </c>
      <c r="V44" s="11">
        <v>1.0</v>
      </c>
      <c r="W44" s="14" t="s">
        <v>47</v>
      </c>
      <c r="Y44" s="5">
        <f t="shared" si="9"/>
        <v>12</v>
      </c>
      <c r="Z44" s="13">
        <f t="shared" ref="Z44:Z48" si="14">(1.562*16000)/(Y44)</f>
        <v>2082.666667</v>
      </c>
    </row>
    <row r="45">
      <c r="A45" s="8">
        <v>45909.0</v>
      </c>
      <c r="B45" s="1">
        <v>0.0</v>
      </c>
      <c r="C45" s="1">
        <v>0.0</v>
      </c>
      <c r="D45" s="1">
        <v>1.0</v>
      </c>
      <c r="E45" s="1">
        <v>0.0</v>
      </c>
      <c r="F45" s="1">
        <v>1.0</v>
      </c>
      <c r="G45" s="1">
        <v>1.0</v>
      </c>
      <c r="H45" s="1">
        <v>0.0</v>
      </c>
      <c r="I45" s="1">
        <v>1.0</v>
      </c>
      <c r="J45" s="1">
        <v>1.0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2.0</v>
      </c>
      <c r="S45" s="1">
        <v>2.0</v>
      </c>
      <c r="T45" s="1">
        <v>0.0</v>
      </c>
      <c r="U45" s="1">
        <v>1.0</v>
      </c>
      <c r="V45" s="11">
        <v>1.0</v>
      </c>
      <c r="W45" s="14" t="s">
        <v>48</v>
      </c>
      <c r="Y45" s="5">
        <f t="shared" si="9"/>
        <v>11</v>
      </c>
      <c r="Z45" s="13">
        <f t="shared" si="14"/>
        <v>2272</v>
      </c>
    </row>
    <row r="46">
      <c r="A46" s="8">
        <v>45916.0</v>
      </c>
      <c r="B46" s="1">
        <v>0.0</v>
      </c>
      <c r="C46" s="1">
        <v>0.0</v>
      </c>
      <c r="D46" s="1">
        <v>1.0</v>
      </c>
      <c r="E46" s="1">
        <v>2.0</v>
      </c>
      <c r="F46" s="1">
        <v>0.0</v>
      </c>
      <c r="G46" s="1">
        <v>2.0</v>
      </c>
      <c r="H46" s="1">
        <v>1.0</v>
      </c>
      <c r="I46" s="1">
        <v>1.0</v>
      </c>
      <c r="J46" s="1">
        <v>1.0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1.0</v>
      </c>
      <c r="R46" s="1">
        <v>2.0</v>
      </c>
      <c r="S46" s="1">
        <v>2.0</v>
      </c>
      <c r="T46" s="1">
        <v>0.0</v>
      </c>
      <c r="U46" s="1">
        <v>0.0</v>
      </c>
      <c r="V46" s="11">
        <v>1.0</v>
      </c>
      <c r="W46" s="14" t="s">
        <v>49</v>
      </c>
      <c r="Y46" s="5">
        <f t="shared" si="9"/>
        <v>14</v>
      </c>
      <c r="Z46" s="13">
        <f t="shared" si="14"/>
        <v>1785.142857</v>
      </c>
    </row>
    <row r="47">
      <c r="A47" s="8">
        <v>45923.0</v>
      </c>
      <c r="B47" s="1">
        <v>0.0</v>
      </c>
      <c r="C47" s="1">
        <v>1.0</v>
      </c>
      <c r="D47" s="1">
        <v>1.0</v>
      </c>
      <c r="E47" s="1">
        <v>2.0</v>
      </c>
      <c r="F47" s="1">
        <v>1.0</v>
      </c>
      <c r="G47" s="1">
        <v>2.0</v>
      </c>
      <c r="H47" s="1">
        <v>1.0</v>
      </c>
      <c r="I47" s="1">
        <v>1.0</v>
      </c>
      <c r="J47" s="1">
        <v>1.0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1.0</v>
      </c>
      <c r="S47" s="1">
        <v>1.0</v>
      </c>
      <c r="T47" s="1">
        <v>0.0</v>
      </c>
      <c r="U47" s="1">
        <v>1.0</v>
      </c>
      <c r="V47" s="11">
        <v>1.0</v>
      </c>
      <c r="W47" s="14" t="s">
        <v>50</v>
      </c>
      <c r="Y47" s="5">
        <f t="shared" si="9"/>
        <v>14</v>
      </c>
      <c r="Z47" s="13">
        <f t="shared" si="14"/>
        <v>1785.142857</v>
      </c>
    </row>
    <row r="48">
      <c r="A48" s="8">
        <v>45930.0</v>
      </c>
      <c r="B48" s="1">
        <v>0.0</v>
      </c>
      <c r="C48" s="1">
        <v>0.0</v>
      </c>
      <c r="D48" s="1">
        <v>1.0</v>
      </c>
      <c r="E48" s="1">
        <v>0.0</v>
      </c>
      <c r="F48" s="1">
        <v>1.0</v>
      </c>
      <c r="G48" s="1">
        <v>1.0</v>
      </c>
      <c r="H48" s="1">
        <v>1.0</v>
      </c>
      <c r="I48" s="1">
        <v>1.0</v>
      </c>
      <c r="J48" s="1">
        <v>1.0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3.0</v>
      </c>
      <c r="S48" s="1">
        <v>1.0</v>
      </c>
      <c r="T48" s="1">
        <v>1.0</v>
      </c>
      <c r="U48" s="1">
        <v>1.0</v>
      </c>
      <c r="V48" s="11">
        <v>3.0</v>
      </c>
      <c r="W48" s="14" t="s">
        <v>51</v>
      </c>
      <c r="Y48" s="5">
        <f t="shared" si="9"/>
        <v>15</v>
      </c>
      <c r="Z48" s="13">
        <f t="shared" si="14"/>
        <v>1666.133333</v>
      </c>
    </row>
    <row r="49">
      <c r="A49" s="8">
        <v>45937.0</v>
      </c>
      <c r="B49" s="1">
        <v>0.0</v>
      </c>
      <c r="C49" s="1">
        <v>1.0</v>
      </c>
      <c r="D49" s="1">
        <v>1.0</v>
      </c>
      <c r="E49" s="1">
        <v>0.0</v>
      </c>
      <c r="F49" s="1">
        <v>2.0</v>
      </c>
      <c r="G49" s="1">
        <v>1.0</v>
      </c>
      <c r="H49" s="1">
        <v>1.0</v>
      </c>
      <c r="I49" s="1">
        <v>1.0</v>
      </c>
      <c r="J49" s="1">
        <v>1.0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1.0</v>
      </c>
      <c r="S49" s="1">
        <v>2.0</v>
      </c>
      <c r="T49" s="1">
        <v>1.0</v>
      </c>
      <c r="U49" s="1">
        <v>1.0</v>
      </c>
      <c r="V49" s="11">
        <v>1.0</v>
      </c>
      <c r="W49" s="14" t="s">
        <v>52</v>
      </c>
      <c r="Y49" s="5">
        <f t="shared" si="9"/>
        <v>14</v>
      </c>
      <c r="Z49" s="13">
        <f t="shared" ref="Z49:Z97" si="15">(1.78*14000)/(Y49)</f>
        <v>1780</v>
      </c>
    </row>
    <row r="50">
      <c r="A50" s="8">
        <v>45944.0</v>
      </c>
      <c r="B50" s="1">
        <v>0.0</v>
      </c>
      <c r="C50" s="1">
        <v>0.0</v>
      </c>
      <c r="D50" s="1">
        <v>0.0</v>
      </c>
      <c r="E50" s="1">
        <v>0.0</v>
      </c>
      <c r="F50" s="1">
        <v>2.0</v>
      </c>
      <c r="G50" s="1">
        <v>1.0</v>
      </c>
      <c r="H50" s="1">
        <v>0.0</v>
      </c>
      <c r="I50" s="1">
        <v>1.0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2.0</v>
      </c>
      <c r="S50" s="1">
        <v>2.0</v>
      </c>
      <c r="T50" s="1">
        <v>1.0</v>
      </c>
      <c r="U50" s="1">
        <v>0.0</v>
      </c>
      <c r="V50" s="11">
        <v>1.0</v>
      </c>
      <c r="W50" s="14" t="s">
        <v>53</v>
      </c>
      <c r="Y50" s="5">
        <f t="shared" si="9"/>
        <v>10</v>
      </c>
      <c r="Z50" s="13">
        <f t="shared" si="15"/>
        <v>2492</v>
      </c>
    </row>
    <row r="51">
      <c r="A51" s="8">
        <v>45951.0</v>
      </c>
      <c r="B51" s="1">
        <v>0.0</v>
      </c>
      <c r="C51" s="1">
        <v>0.0</v>
      </c>
      <c r="D51" s="1">
        <v>1.0</v>
      </c>
      <c r="E51" s="1">
        <v>2.0</v>
      </c>
      <c r="F51" s="1">
        <v>2.0</v>
      </c>
      <c r="G51" s="1">
        <v>1.0</v>
      </c>
      <c r="H51" s="1">
        <v>1.0</v>
      </c>
      <c r="I51" s="1">
        <v>1.0</v>
      </c>
      <c r="J51" s="1">
        <v>1.0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1.0</v>
      </c>
      <c r="U51" s="1">
        <v>1.0</v>
      </c>
      <c r="V51" s="11">
        <v>1.0</v>
      </c>
      <c r="Y51" s="5">
        <f t="shared" si="9"/>
        <v>12</v>
      </c>
      <c r="Z51" s="13">
        <f t="shared" si="15"/>
        <v>2076.666667</v>
      </c>
    </row>
    <row r="52">
      <c r="A52" s="8">
        <v>45958.0</v>
      </c>
      <c r="B52" s="1">
        <v>0.0</v>
      </c>
      <c r="C52" s="1">
        <v>0.0</v>
      </c>
      <c r="D52" s="1">
        <v>1.0</v>
      </c>
      <c r="E52" s="1">
        <v>0.0</v>
      </c>
      <c r="F52" s="1">
        <v>2.0</v>
      </c>
      <c r="G52" s="1">
        <v>1.0</v>
      </c>
      <c r="H52" s="1">
        <v>1.0</v>
      </c>
      <c r="I52" s="1">
        <v>1.0</v>
      </c>
      <c r="J52" s="1">
        <v>1.0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1.0</v>
      </c>
      <c r="S52" s="1">
        <v>0.0</v>
      </c>
      <c r="T52" s="1">
        <v>1.0</v>
      </c>
      <c r="U52" s="1">
        <v>1.0</v>
      </c>
      <c r="V52" s="11">
        <v>1.0</v>
      </c>
      <c r="Y52" s="5">
        <f t="shared" si="9"/>
        <v>11</v>
      </c>
      <c r="Z52" s="13">
        <f t="shared" si="15"/>
        <v>2265.454545</v>
      </c>
    </row>
    <row r="53">
      <c r="A53" s="8">
        <v>45965.0</v>
      </c>
      <c r="B53" s="1">
        <v>0.0</v>
      </c>
      <c r="C53" s="1">
        <v>0.0</v>
      </c>
      <c r="D53" s="1">
        <v>1.0</v>
      </c>
      <c r="E53" s="1">
        <v>0.0</v>
      </c>
      <c r="F53" s="1">
        <v>2.0</v>
      </c>
      <c r="G53" s="1">
        <v>0.0</v>
      </c>
      <c r="H53" s="1">
        <v>1.0</v>
      </c>
      <c r="I53" s="1">
        <v>1.0</v>
      </c>
      <c r="J53" s="1">
        <v>1.0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1.0</v>
      </c>
      <c r="R53" s="1">
        <v>0.0</v>
      </c>
      <c r="S53" s="1">
        <v>0.0</v>
      </c>
      <c r="T53" s="1">
        <v>0.0</v>
      </c>
      <c r="U53" s="1">
        <v>1.0</v>
      </c>
      <c r="V53" s="11"/>
      <c r="W53" s="14" t="s">
        <v>54</v>
      </c>
      <c r="Y53" s="5">
        <f t="shared" si="9"/>
        <v>8</v>
      </c>
      <c r="Z53" s="13">
        <f t="shared" si="15"/>
        <v>3115</v>
      </c>
    </row>
    <row r="54">
      <c r="A54" s="8">
        <v>45972.0</v>
      </c>
      <c r="B54" s="1">
        <v>0.0</v>
      </c>
      <c r="C54" s="1">
        <v>0.0</v>
      </c>
      <c r="D54" s="1">
        <v>0.0</v>
      </c>
      <c r="E54" s="1">
        <v>0.0</v>
      </c>
      <c r="F54" s="1">
        <v>2.0</v>
      </c>
      <c r="G54" s="1">
        <v>1.0</v>
      </c>
      <c r="H54" s="1">
        <v>1.0</v>
      </c>
      <c r="I54" s="1">
        <v>1.0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5.0</v>
      </c>
      <c r="S54" s="1">
        <v>2.0</v>
      </c>
      <c r="T54" s="1">
        <v>1.0</v>
      </c>
      <c r="U54" s="1">
        <v>0.0</v>
      </c>
      <c r="V54" s="11"/>
      <c r="W54" s="14" t="s">
        <v>55</v>
      </c>
      <c r="Y54" s="5">
        <f t="shared" si="9"/>
        <v>13</v>
      </c>
      <c r="Z54" s="13">
        <f t="shared" si="15"/>
        <v>1916.923077</v>
      </c>
    </row>
    <row r="55">
      <c r="A55" s="8">
        <v>45979.0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1"/>
      <c r="Y55" s="5">
        <f t="shared" si="9"/>
        <v>0</v>
      </c>
      <c r="Z55" s="13" t="str">
        <f t="shared" si="15"/>
        <v>#DIV/0!</v>
      </c>
    </row>
    <row r="56">
      <c r="A56" s="8">
        <v>45986.0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1"/>
      <c r="Y56" s="5">
        <f t="shared" si="9"/>
        <v>0</v>
      </c>
      <c r="Z56" s="13" t="str">
        <f t="shared" si="15"/>
        <v>#DIV/0!</v>
      </c>
    </row>
    <row r="57">
      <c r="A57" s="8">
        <v>45993.0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1"/>
      <c r="Y57" s="5">
        <f t="shared" si="9"/>
        <v>0</v>
      </c>
      <c r="Z57" s="13" t="str">
        <f t="shared" si="15"/>
        <v>#DIV/0!</v>
      </c>
    </row>
    <row r="58">
      <c r="A58" s="8">
        <v>46000.0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1"/>
      <c r="Y58" s="5">
        <f t="shared" si="9"/>
        <v>0</v>
      </c>
      <c r="Z58" s="13" t="str">
        <f t="shared" si="15"/>
        <v>#DIV/0!</v>
      </c>
    </row>
    <row r="59">
      <c r="A59" s="8">
        <v>46007.0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1"/>
      <c r="Y59" s="5">
        <f t="shared" si="9"/>
        <v>0</v>
      </c>
      <c r="Z59" s="13" t="str">
        <f t="shared" si="15"/>
        <v>#DIV/0!</v>
      </c>
    </row>
    <row r="60">
      <c r="A60" s="8">
        <v>46014.0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1"/>
      <c r="Y60" s="5">
        <f t="shared" si="9"/>
        <v>0</v>
      </c>
      <c r="Z60" s="13" t="str">
        <f t="shared" si="15"/>
        <v>#DIV/0!</v>
      </c>
    </row>
    <row r="61">
      <c r="A61" s="8">
        <v>46021.0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1"/>
      <c r="Y61" s="5">
        <f t="shared" si="9"/>
        <v>0</v>
      </c>
      <c r="Z61" s="13" t="str">
        <f t="shared" si="15"/>
        <v>#DIV/0!</v>
      </c>
    </row>
    <row r="62">
      <c r="A62" s="8">
        <v>46028.0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1"/>
      <c r="Y62" s="5">
        <f t="shared" si="9"/>
        <v>0</v>
      </c>
      <c r="Z62" s="13" t="str">
        <f t="shared" si="15"/>
        <v>#DIV/0!</v>
      </c>
    </row>
    <row r="63">
      <c r="A63" s="8">
        <v>46035.0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1"/>
      <c r="Y63" s="5">
        <f t="shared" si="9"/>
        <v>0</v>
      </c>
      <c r="Z63" s="13" t="str">
        <f t="shared" si="15"/>
        <v>#DIV/0!</v>
      </c>
    </row>
    <row r="64">
      <c r="A64" s="8">
        <v>46042.0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1"/>
      <c r="Y64" s="5">
        <f t="shared" si="9"/>
        <v>0</v>
      </c>
      <c r="Z64" s="13" t="str">
        <f t="shared" si="15"/>
        <v>#DIV/0!</v>
      </c>
    </row>
    <row r="65">
      <c r="A65" s="8">
        <v>46049.0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1"/>
      <c r="Y65" s="5">
        <f t="shared" si="9"/>
        <v>0</v>
      </c>
      <c r="Z65" s="13" t="str">
        <f t="shared" si="15"/>
        <v>#DIV/0!</v>
      </c>
    </row>
    <row r="66">
      <c r="A66" s="8">
        <v>46056.0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1"/>
      <c r="Y66" s="5">
        <f t="shared" si="9"/>
        <v>0</v>
      </c>
      <c r="Z66" s="13" t="str">
        <f t="shared" si="15"/>
        <v>#DIV/0!</v>
      </c>
    </row>
    <row r="67">
      <c r="A67" s="8">
        <v>46063.0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1"/>
      <c r="Y67" s="5">
        <f t="shared" si="9"/>
        <v>0</v>
      </c>
      <c r="Z67" s="13" t="str">
        <f t="shared" si="15"/>
        <v>#DIV/0!</v>
      </c>
    </row>
    <row r="68">
      <c r="A68" s="8">
        <v>46070.0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1"/>
      <c r="Y68" s="5">
        <f t="shared" si="9"/>
        <v>0</v>
      </c>
      <c r="Z68" s="13" t="str">
        <f t="shared" si="15"/>
        <v>#DIV/0!</v>
      </c>
    </row>
    <row r="69">
      <c r="A69" s="8">
        <v>46077.0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1"/>
      <c r="Y69" s="5">
        <f t="shared" si="9"/>
        <v>0</v>
      </c>
      <c r="Z69" s="13" t="str">
        <f t="shared" si="15"/>
        <v>#DIV/0!</v>
      </c>
    </row>
    <row r="70">
      <c r="A70" s="8">
        <v>46084.0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1"/>
      <c r="Y70" s="5">
        <f t="shared" si="9"/>
        <v>0</v>
      </c>
      <c r="Z70" s="13" t="str">
        <f t="shared" si="15"/>
        <v>#DIV/0!</v>
      </c>
    </row>
    <row r="71">
      <c r="A71" s="8">
        <v>46091.0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1"/>
      <c r="Y71" s="5">
        <f t="shared" si="9"/>
        <v>0</v>
      </c>
      <c r="Z71" s="13" t="str">
        <f t="shared" si="15"/>
        <v>#DIV/0!</v>
      </c>
    </row>
    <row r="72">
      <c r="A72" s="8">
        <v>46098.0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1"/>
      <c r="Y72" s="5">
        <f t="shared" si="9"/>
        <v>0</v>
      </c>
      <c r="Z72" s="13" t="str">
        <f t="shared" si="15"/>
        <v>#DIV/0!</v>
      </c>
    </row>
    <row r="73">
      <c r="A73" s="8">
        <v>46105.0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1"/>
      <c r="Y73" s="5">
        <f t="shared" si="9"/>
        <v>0</v>
      </c>
      <c r="Z73" s="13" t="str">
        <f t="shared" si="15"/>
        <v>#DIV/0!</v>
      </c>
    </row>
    <row r="74">
      <c r="A74" s="8">
        <v>46112.0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1"/>
      <c r="Y74" s="5">
        <f t="shared" si="9"/>
        <v>0</v>
      </c>
      <c r="Z74" s="13" t="str">
        <f t="shared" si="15"/>
        <v>#DIV/0!</v>
      </c>
    </row>
    <row r="75">
      <c r="A75" s="8">
        <v>46119.0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1"/>
      <c r="Y75" s="5">
        <f t="shared" si="9"/>
        <v>0</v>
      </c>
      <c r="Z75" s="13" t="str">
        <f t="shared" si="15"/>
        <v>#DIV/0!</v>
      </c>
    </row>
    <row r="76">
      <c r="A76" s="8">
        <v>46126.0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1"/>
      <c r="Y76" s="5">
        <f t="shared" si="9"/>
        <v>0</v>
      </c>
      <c r="Z76" s="13" t="str">
        <f t="shared" si="15"/>
        <v>#DIV/0!</v>
      </c>
    </row>
    <row r="77">
      <c r="A77" s="8">
        <v>46133.0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1"/>
      <c r="Y77" s="5">
        <f t="shared" si="9"/>
        <v>0</v>
      </c>
      <c r="Z77" s="13" t="str">
        <f t="shared" si="15"/>
        <v>#DIV/0!</v>
      </c>
    </row>
    <row r="78">
      <c r="A78" s="8">
        <v>46140.0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1"/>
      <c r="Y78" s="5">
        <f t="shared" si="9"/>
        <v>0</v>
      </c>
      <c r="Z78" s="13" t="str">
        <f t="shared" si="15"/>
        <v>#DIV/0!</v>
      </c>
    </row>
    <row r="79">
      <c r="A79" s="8">
        <v>46147.0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1"/>
      <c r="Y79" s="5">
        <f t="shared" si="9"/>
        <v>0</v>
      </c>
      <c r="Z79" s="13" t="str">
        <f t="shared" si="15"/>
        <v>#DIV/0!</v>
      </c>
    </row>
    <row r="80">
      <c r="A80" s="8">
        <v>46154.0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1"/>
      <c r="Y80" s="5">
        <f t="shared" si="9"/>
        <v>0</v>
      </c>
      <c r="Z80" s="13" t="str">
        <f t="shared" si="15"/>
        <v>#DIV/0!</v>
      </c>
    </row>
    <row r="81">
      <c r="A81" s="8">
        <v>46161.0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1"/>
      <c r="Y81" s="5">
        <f t="shared" si="9"/>
        <v>0</v>
      </c>
      <c r="Z81" s="13" t="str">
        <f t="shared" si="15"/>
        <v>#DIV/0!</v>
      </c>
    </row>
    <row r="82">
      <c r="A82" s="8">
        <v>46168.0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1"/>
      <c r="Y82" s="5">
        <f t="shared" si="9"/>
        <v>0</v>
      </c>
      <c r="Z82" s="13" t="str">
        <f t="shared" si="15"/>
        <v>#DIV/0!</v>
      </c>
    </row>
    <row r="83">
      <c r="A83" s="8">
        <v>46175.0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1"/>
      <c r="Y83" s="5">
        <f t="shared" si="9"/>
        <v>0</v>
      </c>
      <c r="Z83" s="13" t="str">
        <f t="shared" si="15"/>
        <v>#DIV/0!</v>
      </c>
    </row>
    <row r="84">
      <c r="A84" s="8">
        <v>46182.0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1"/>
      <c r="Y84" s="5">
        <f t="shared" si="9"/>
        <v>0</v>
      </c>
      <c r="Z84" s="13" t="str">
        <f t="shared" si="15"/>
        <v>#DIV/0!</v>
      </c>
    </row>
    <row r="85">
      <c r="A85" s="8">
        <v>46189.0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1"/>
      <c r="Y85" s="5">
        <f t="shared" si="9"/>
        <v>0</v>
      </c>
      <c r="Z85" s="13" t="str">
        <f t="shared" si="15"/>
        <v>#DIV/0!</v>
      </c>
    </row>
    <row r="86">
      <c r="A86" s="8">
        <v>46196.0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1"/>
      <c r="Y86" s="5">
        <f t="shared" si="9"/>
        <v>0</v>
      </c>
      <c r="Z86" s="13" t="str">
        <f t="shared" si="15"/>
        <v>#DIV/0!</v>
      </c>
    </row>
    <row r="87">
      <c r="A87" s="8">
        <v>46203.0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1"/>
      <c r="Y87" s="5">
        <f t="shared" si="9"/>
        <v>0</v>
      </c>
      <c r="Z87" s="13" t="str">
        <f t="shared" si="15"/>
        <v>#DIV/0!</v>
      </c>
    </row>
    <row r="88">
      <c r="A88" s="8">
        <v>46210.0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1"/>
      <c r="Y88" s="5">
        <f t="shared" si="9"/>
        <v>0</v>
      </c>
      <c r="Z88" s="13" t="str">
        <f t="shared" si="15"/>
        <v>#DIV/0!</v>
      </c>
    </row>
    <row r="89">
      <c r="A89" s="8">
        <v>46217.0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1"/>
      <c r="Y89" s="5">
        <f t="shared" si="9"/>
        <v>0</v>
      </c>
      <c r="Z89" s="13" t="str">
        <f t="shared" si="15"/>
        <v>#DIV/0!</v>
      </c>
    </row>
    <row r="90">
      <c r="A90" s="8">
        <v>46224.0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1"/>
      <c r="Y90" s="5">
        <f t="shared" si="9"/>
        <v>0</v>
      </c>
      <c r="Z90" s="13" t="str">
        <f t="shared" si="15"/>
        <v>#DIV/0!</v>
      </c>
    </row>
    <row r="91">
      <c r="A91" s="8">
        <v>46231.0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1"/>
      <c r="Y91" s="5">
        <f t="shared" si="9"/>
        <v>0</v>
      </c>
      <c r="Z91" s="13" t="str">
        <f t="shared" si="15"/>
        <v>#DIV/0!</v>
      </c>
    </row>
    <row r="92">
      <c r="A92" s="8">
        <v>46238.0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1"/>
      <c r="Y92" s="5">
        <f t="shared" si="9"/>
        <v>0</v>
      </c>
      <c r="Z92" s="13" t="str">
        <f t="shared" si="15"/>
        <v>#DIV/0!</v>
      </c>
    </row>
    <row r="93">
      <c r="A93" s="8">
        <v>46245.0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1"/>
      <c r="Y93" s="5">
        <f t="shared" si="9"/>
        <v>0</v>
      </c>
      <c r="Z93" s="13" t="str">
        <f t="shared" si="15"/>
        <v>#DIV/0!</v>
      </c>
    </row>
    <row r="94">
      <c r="A94" s="8">
        <v>46252.0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1"/>
      <c r="Y94" s="5">
        <f t="shared" si="9"/>
        <v>0</v>
      </c>
      <c r="Z94" s="13" t="str">
        <f t="shared" si="15"/>
        <v>#DIV/0!</v>
      </c>
    </row>
    <row r="95">
      <c r="A95" s="8">
        <v>46259.0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1"/>
      <c r="Y95" s="5">
        <f t="shared" si="9"/>
        <v>0</v>
      </c>
      <c r="Z95" s="13" t="str">
        <f t="shared" si="15"/>
        <v>#DIV/0!</v>
      </c>
    </row>
    <row r="96">
      <c r="A96" s="8">
        <v>46266.0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1"/>
      <c r="Y96" s="5">
        <f t="shared" si="9"/>
        <v>0</v>
      </c>
      <c r="Z96" s="13" t="str">
        <f t="shared" si="15"/>
        <v>#DIV/0!</v>
      </c>
    </row>
    <row r="97"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1"/>
      <c r="Y97" s="5">
        <f t="shared" si="9"/>
        <v>0</v>
      </c>
      <c r="Z97" s="13" t="str">
        <f t="shared" si="15"/>
        <v>#DIV/0!</v>
      </c>
    </row>
    <row r="98">
      <c r="Y98" s="5">
        <f t="shared" si="9"/>
        <v>0</v>
      </c>
    </row>
    <row r="99">
      <c r="B99" s="15">
        <f t="shared" ref="B99:V99" si="16">COUNTIF(B9:B17,B4)</f>
        <v>2</v>
      </c>
      <c r="C99" s="15">
        <f t="shared" si="16"/>
        <v>3</v>
      </c>
      <c r="D99" s="15">
        <f t="shared" si="16"/>
        <v>6</v>
      </c>
      <c r="E99" s="15">
        <f t="shared" si="16"/>
        <v>6</v>
      </c>
      <c r="F99" s="15">
        <f t="shared" si="16"/>
        <v>4</v>
      </c>
      <c r="G99" s="15">
        <f t="shared" si="16"/>
        <v>9</v>
      </c>
      <c r="H99" s="15">
        <f t="shared" si="16"/>
        <v>7</v>
      </c>
      <c r="I99" s="15">
        <f t="shared" si="16"/>
        <v>8</v>
      </c>
      <c r="J99" s="15">
        <f t="shared" si="16"/>
        <v>7</v>
      </c>
      <c r="K99" s="15">
        <f t="shared" si="16"/>
        <v>6</v>
      </c>
      <c r="L99" s="15">
        <f t="shared" si="16"/>
        <v>0</v>
      </c>
      <c r="M99" s="15">
        <f t="shared" si="16"/>
        <v>6</v>
      </c>
      <c r="N99" s="15">
        <f t="shared" si="16"/>
        <v>7</v>
      </c>
      <c r="O99" s="15">
        <f t="shared" si="16"/>
        <v>1</v>
      </c>
      <c r="P99" s="15">
        <f t="shared" si="16"/>
        <v>0</v>
      </c>
      <c r="Q99" s="15">
        <f t="shared" si="16"/>
        <v>0</v>
      </c>
      <c r="R99" s="15">
        <f t="shared" si="16"/>
        <v>0</v>
      </c>
      <c r="S99" s="15">
        <f t="shared" si="16"/>
        <v>0</v>
      </c>
      <c r="T99" s="15">
        <f t="shared" si="16"/>
        <v>0</v>
      </c>
      <c r="U99" s="15">
        <f t="shared" si="16"/>
        <v>3</v>
      </c>
      <c r="V99" s="15">
        <f t="shared" si="16"/>
        <v>0</v>
      </c>
      <c r="Y99" s="5">
        <f t="shared" si="9"/>
        <v>75</v>
      </c>
    </row>
    <row r="100">
      <c r="B100" s="15">
        <f t="shared" ref="B100:V100" si="17">COUNTIF(B18:B97,"&gt;0")</f>
        <v>1</v>
      </c>
      <c r="C100" s="15">
        <f t="shared" si="17"/>
        <v>16</v>
      </c>
      <c r="D100" s="15">
        <f t="shared" si="17"/>
        <v>25</v>
      </c>
      <c r="E100" s="15">
        <f t="shared" si="17"/>
        <v>9</v>
      </c>
      <c r="F100" s="15">
        <f t="shared" si="17"/>
        <v>30</v>
      </c>
      <c r="G100" s="15">
        <f t="shared" si="17"/>
        <v>32</v>
      </c>
      <c r="H100" s="15">
        <f t="shared" si="17"/>
        <v>28</v>
      </c>
      <c r="I100" s="15">
        <f t="shared" si="17"/>
        <v>31</v>
      </c>
      <c r="J100" s="15">
        <f t="shared" si="17"/>
        <v>28</v>
      </c>
      <c r="K100" s="15">
        <f t="shared" si="17"/>
        <v>1</v>
      </c>
      <c r="L100" s="15">
        <f t="shared" si="17"/>
        <v>1</v>
      </c>
      <c r="M100" s="15">
        <f t="shared" si="17"/>
        <v>0</v>
      </c>
      <c r="N100" s="15">
        <f t="shared" si="17"/>
        <v>0</v>
      </c>
      <c r="O100" s="15">
        <f t="shared" si="17"/>
        <v>0</v>
      </c>
      <c r="P100" s="15">
        <f t="shared" si="17"/>
        <v>1</v>
      </c>
      <c r="Q100" s="15">
        <f t="shared" si="17"/>
        <v>19</v>
      </c>
      <c r="R100" s="15">
        <f t="shared" si="17"/>
        <v>28</v>
      </c>
      <c r="S100" s="15">
        <f t="shared" si="17"/>
        <v>23</v>
      </c>
      <c r="T100" s="15">
        <f t="shared" si="17"/>
        <v>16</v>
      </c>
      <c r="U100" s="15">
        <f t="shared" si="17"/>
        <v>30</v>
      </c>
      <c r="V100" s="15">
        <f t="shared" si="17"/>
        <v>15</v>
      </c>
      <c r="Y100" s="5">
        <f t="shared" si="9"/>
        <v>334</v>
      </c>
    </row>
    <row r="101">
      <c r="B101" s="15">
        <f t="shared" ref="B101:V101" si="18">SUM(B99:B100)</f>
        <v>3</v>
      </c>
      <c r="C101" s="15">
        <f t="shared" si="18"/>
        <v>19</v>
      </c>
      <c r="D101" s="15">
        <f t="shared" si="18"/>
        <v>31</v>
      </c>
      <c r="E101" s="15">
        <f t="shared" si="18"/>
        <v>15</v>
      </c>
      <c r="F101" s="15">
        <f t="shared" si="18"/>
        <v>34</v>
      </c>
      <c r="G101" s="15">
        <f t="shared" si="18"/>
        <v>41</v>
      </c>
      <c r="H101" s="15">
        <f t="shared" si="18"/>
        <v>35</v>
      </c>
      <c r="I101" s="15">
        <f t="shared" si="18"/>
        <v>39</v>
      </c>
      <c r="J101" s="15">
        <f t="shared" si="18"/>
        <v>35</v>
      </c>
      <c r="K101" s="15">
        <f t="shared" si="18"/>
        <v>7</v>
      </c>
      <c r="L101" s="15">
        <f t="shared" si="18"/>
        <v>1</v>
      </c>
      <c r="M101" s="15">
        <f t="shared" si="18"/>
        <v>6</v>
      </c>
      <c r="N101" s="15">
        <f t="shared" si="18"/>
        <v>7</v>
      </c>
      <c r="O101" s="15">
        <f t="shared" si="18"/>
        <v>1</v>
      </c>
      <c r="P101" s="15">
        <f t="shared" si="18"/>
        <v>1</v>
      </c>
      <c r="Q101" s="15">
        <f t="shared" si="18"/>
        <v>19</v>
      </c>
      <c r="R101" s="15">
        <f t="shared" si="18"/>
        <v>28</v>
      </c>
      <c r="S101" s="15">
        <f t="shared" si="18"/>
        <v>23</v>
      </c>
      <c r="T101" s="15">
        <f t="shared" si="18"/>
        <v>16</v>
      </c>
      <c r="U101" s="15">
        <f t="shared" si="18"/>
        <v>33</v>
      </c>
      <c r="V101" s="15">
        <f t="shared" si="18"/>
        <v>15</v>
      </c>
      <c r="Y101" s="5">
        <f t="shared" si="9"/>
        <v>409</v>
      </c>
    </row>
    <row r="102">
      <c r="A102" s="1" t="s">
        <v>0</v>
      </c>
      <c r="B102" s="3" t="s">
        <v>1</v>
      </c>
      <c r="C102" s="2" t="s">
        <v>2</v>
      </c>
      <c r="D102" s="2" t="s">
        <v>3</v>
      </c>
      <c r="E102" s="3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3" t="s">
        <v>10</v>
      </c>
      <c r="L102" s="3" t="s">
        <v>11</v>
      </c>
      <c r="M102" s="2" t="s">
        <v>12</v>
      </c>
      <c r="N102" s="2" t="s">
        <v>13</v>
      </c>
      <c r="O102" s="2" t="s">
        <v>14</v>
      </c>
      <c r="P102" s="2" t="s">
        <v>15</v>
      </c>
      <c r="Q102" s="2" t="s">
        <v>16</v>
      </c>
      <c r="R102" s="3" t="s">
        <v>17</v>
      </c>
      <c r="S102" s="3" t="s">
        <v>18</v>
      </c>
      <c r="T102" s="3" t="s">
        <v>19</v>
      </c>
      <c r="U102" s="3" t="s">
        <v>20</v>
      </c>
      <c r="V102" s="3" t="s">
        <v>21</v>
      </c>
      <c r="W102" s="4" t="s">
        <v>22</v>
      </c>
      <c r="X102" s="5"/>
      <c r="Y102" s="5"/>
      <c r="Z102" s="5"/>
      <c r="AA102" s="5"/>
    </row>
    <row r="103">
      <c r="Y103" s="5">
        <f t="shared" ref="Y103:Y138" si="19">SUM(B103:V103)</f>
        <v>0</v>
      </c>
    </row>
    <row r="104">
      <c r="Y104" s="5">
        <f t="shared" si="19"/>
        <v>0</v>
      </c>
    </row>
    <row r="105">
      <c r="Y105" s="5">
        <f t="shared" si="19"/>
        <v>0</v>
      </c>
    </row>
    <row r="106">
      <c r="Y106" s="5">
        <f t="shared" si="19"/>
        <v>0</v>
      </c>
    </row>
    <row r="107">
      <c r="Y107" s="5">
        <f t="shared" si="19"/>
        <v>0</v>
      </c>
    </row>
    <row r="108">
      <c r="Y108" s="5">
        <f t="shared" si="19"/>
        <v>0</v>
      </c>
    </row>
    <row r="109">
      <c r="Y109" s="5">
        <f t="shared" si="19"/>
        <v>0</v>
      </c>
    </row>
    <row r="110">
      <c r="Y110" s="5">
        <f t="shared" si="19"/>
        <v>0</v>
      </c>
    </row>
    <row r="111">
      <c r="Y111" s="5">
        <f t="shared" si="19"/>
        <v>0</v>
      </c>
    </row>
    <row r="112">
      <c r="Y112" s="5">
        <f t="shared" si="19"/>
        <v>0</v>
      </c>
    </row>
    <row r="113">
      <c r="Y113" s="5">
        <f t="shared" si="19"/>
        <v>0</v>
      </c>
    </row>
    <row r="114">
      <c r="Y114" s="5">
        <f t="shared" si="19"/>
        <v>0</v>
      </c>
    </row>
    <row r="115">
      <c r="Y115" s="5">
        <f t="shared" si="19"/>
        <v>0</v>
      </c>
    </row>
    <row r="116">
      <c r="Y116" s="5">
        <f t="shared" si="19"/>
        <v>0</v>
      </c>
    </row>
    <row r="117">
      <c r="Y117" s="5">
        <f t="shared" si="19"/>
        <v>0</v>
      </c>
    </row>
    <row r="118">
      <c r="Y118" s="5">
        <f t="shared" si="19"/>
        <v>0</v>
      </c>
    </row>
    <row r="119">
      <c r="Y119" s="5">
        <f t="shared" si="19"/>
        <v>0</v>
      </c>
    </row>
    <row r="120">
      <c r="Y120" s="5">
        <f t="shared" si="19"/>
        <v>0</v>
      </c>
    </row>
    <row r="121">
      <c r="Y121" s="5">
        <f t="shared" si="19"/>
        <v>0</v>
      </c>
    </row>
    <row r="122">
      <c r="Y122" s="5">
        <f t="shared" si="19"/>
        <v>0</v>
      </c>
    </row>
    <row r="123">
      <c r="Y123" s="5">
        <f t="shared" si="19"/>
        <v>0</v>
      </c>
    </row>
    <row r="124">
      <c r="Y124" s="5">
        <f t="shared" si="19"/>
        <v>0</v>
      </c>
    </row>
    <row r="125">
      <c r="Y125" s="5">
        <f t="shared" si="19"/>
        <v>0</v>
      </c>
    </row>
    <row r="126">
      <c r="Y126" s="5">
        <f t="shared" si="19"/>
        <v>0</v>
      </c>
    </row>
    <row r="127">
      <c r="Y127" s="5">
        <f t="shared" si="19"/>
        <v>0</v>
      </c>
    </row>
    <row r="128">
      <c r="Y128" s="5">
        <f t="shared" si="19"/>
        <v>0</v>
      </c>
    </row>
    <row r="129">
      <c r="Y129" s="5">
        <f t="shared" si="19"/>
        <v>0</v>
      </c>
    </row>
    <row r="130">
      <c r="Y130" s="5">
        <f t="shared" si="19"/>
        <v>0</v>
      </c>
    </row>
    <row r="131">
      <c r="Y131" s="5">
        <f t="shared" si="19"/>
        <v>0</v>
      </c>
    </row>
    <row r="132">
      <c r="Y132" s="5">
        <f t="shared" si="19"/>
        <v>0</v>
      </c>
    </row>
    <row r="133">
      <c r="Y133" s="5">
        <f t="shared" si="19"/>
        <v>0</v>
      </c>
    </row>
    <row r="134">
      <c r="Y134" s="5">
        <f t="shared" si="19"/>
        <v>0</v>
      </c>
    </row>
    <row r="135">
      <c r="Y135" s="5">
        <f t="shared" si="19"/>
        <v>0</v>
      </c>
    </row>
    <row r="136">
      <c r="Y136" s="5">
        <f t="shared" si="19"/>
        <v>0</v>
      </c>
    </row>
    <row r="137">
      <c r="Y137" s="5">
        <f t="shared" si="19"/>
        <v>0</v>
      </c>
    </row>
    <row r="138">
      <c r="Y138" s="5">
        <f t="shared" si="19"/>
        <v>0</v>
      </c>
    </row>
  </sheetData>
  <dataValidations>
    <dataValidation type="list" allowBlank="1" showErrorMessage="1" sqref="B2:V97">
      <formula1>"0,1,2,3,4,5,6,7"</formula1>
    </dataValidation>
  </dataValidations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5"/>
    <col customWidth="1" min="18" max="18" width="16.75"/>
    <col customWidth="1" min="19" max="19" width="15.5"/>
    <col customWidth="1" min="23" max="23" width="1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56</v>
      </c>
      <c r="L1" s="2" t="s">
        <v>57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16" t="s">
        <v>58</v>
      </c>
      <c r="T1" s="16" t="s">
        <v>19</v>
      </c>
      <c r="U1" s="16" t="s">
        <v>20</v>
      </c>
      <c r="V1" s="17" t="s">
        <v>21</v>
      </c>
      <c r="W1" s="4" t="s">
        <v>59</v>
      </c>
      <c r="X1" s="4"/>
      <c r="Y1" s="4"/>
    </row>
    <row r="2">
      <c r="A2" s="6">
        <v>45594.0</v>
      </c>
      <c r="B2" s="5" t="str">
        <f>IF('Jelenlét'!B2="Jövök :)",'Jelenlét'!$Z2,"")</f>
        <v/>
      </c>
      <c r="C2" s="5" t="str">
        <f>IF('Jelenlét'!C2="Jövök :)",'Jelenlét'!$Z2,"")</f>
        <v/>
      </c>
      <c r="D2" s="5" t="str">
        <f>IF('Jelenlét'!D2="Jövök :)",'Jelenlét'!$Z2,"")</f>
        <v/>
      </c>
      <c r="E2" s="5" t="str">
        <f>IF('Jelenlét'!E2="Jövök :)",'Jelenlét'!$Z2,"")</f>
        <v/>
      </c>
      <c r="F2" s="5" t="str">
        <f>IF('Jelenlét'!F2="Jövök :)",'Jelenlét'!$Z2,"")</f>
        <v/>
      </c>
      <c r="G2" s="5" t="str">
        <f>IF('Jelenlét'!G2="Jövök :)",'Jelenlét'!$Z2,"")</f>
        <v/>
      </c>
      <c r="H2" s="5" t="str">
        <f>IF('Jelenlét'!H2="Jövök :)",'Jelenlét'!$Z2,"")</f>
        <v/>
      </c>
      <c r="I2" s="5" t="str">
        <f>IF('Jelenlét'!I2="Jövök :)",'Jelenlét'!$Z2,"")</f>
        <v/>
      </c>
      <c r="J2" s="5" t="str">
        <f>IF('Jelenlét'!J2="Jövök :)",'Jelenlét'!$Z2,"")</f>
        <v/>
      </c>
      <c r="K2" s="5" t="str">
        <f>IF('Jelenlét'!K2="Jövök :)",'Jelenlét'!$Z2,"")</f>
        <v/>
      </c>
      <c r="L2" s="5" t="str">
        <f>IF('Jelenlét'!L2="Jövök :)",'Jelenlét'!$Z2,"")</f>
        <v/>
      </c>
      <c r="M2" s="5" t="str">
        <f>IF('Jelenlét'!M2="Jövök :)",'Jelenlét'!$Z2,"")</f>
        <v/>
      </c>
      <c r="N2" s="5" t="str">
        <f>IF('Jelenlét'!N2="Jövök :)",'Jelenlét'!$Z2,"")</f>
        <v/>
      </c>
      <c r="O2" s="5" t="str">
        <f>IF('Jelenlét'!O2="Jövök :)",'Jelenlét'!$Z2,"")</f>
        <v/>
      </c>
      <c r="P2" s="5" t="str">
        <f>IF('Jelenlét'!P2="Jövök :)",'Jelenlét'!$Z2,"")</f>
        <v/>
      </c>
      <c r="Q2" s="5" t="str">
        <f>IF('Jelenlét'!Q2="Jövök :)",'Jelenlét'!$Z2,"")</f>
        <v/>
      </c>
      <c r="R2" s="5" t="str">
        <f>IF('Jelenlét'!R2="Jövök :)",'Jelenlét'!$Z2,"")</f>
        <v/>
      </c>
      <c r="S2" s="5" t="str">
        <f>IF('Jelenlét'!Y2="Jövök :)",'Jelenlét'!AV2,"")</f>
        <v/>
      </c>
      <c r="T2" s="5" t="str">
        <f>IF('Jelenlét'!Z2="Jövök :)",'Jelenlét'!AW2,"")</f>
        <v/>
      </c>
      <c r="U2" s="5" t="str">
        <f>IF('Jelenlét'!AA2="Jövök :)",'Jelenlét'!AX2,"")</f>
        <v/>
      </c>
      <c r="V2" s="5" t="str">
        <f>IF('Jelenlét'!AB2="Jövök :)",'Jelenlét'!AY2,"")</f>
        <v/>
      </c>
      <c r="W2" s="5"/>
      <c r="X2" s="5"/>
      <c r="Y2" s="5"/>
    </row>
    <row r="3">
      <c r="A3" s="8">
        <v>45601.0</v>
      </c>
      <c r="B3" s="5" t="str">
        <f>IF('Jelenlét'!B3="Jövök :)",'Jelenlét'!$AA3,"")</f>
        <v/>
      </c>
      <c r="C3" s="5" t="str">
        <f>IF('Jelenlét'!C3="Jövök :)",'Jelenlét'!$AA3,"")</f>
        <v/>
      </c>
      <c r="D3" s="5" t="str">
        <f>IF('Jelenlét'!D3="Jövök :)",'Jelenlét'!$AA3,"")</f>
        <v/>
      </c>
      <c r="E3" s="5" t="str">
        <f>IF('Jelenlét'!E3="Jövök :)",'Jelenlét'!$AA3,"")</f>
        <v/>
      </c>
      <c r="F3" s="5" t="str">
        <f>IF('Jelenlét'!F3="Jövök :)",'Jelenlét'!$AA3,"")</f>
        <v/>
      </c>
      <c r="G3" s="5" t="str">
        <f>IF('Jelenlét'!G3="Jövök :)",'Jelenlét'!$AA3,"")</f>
        <v/>
      </c>
      <c r="H3" s="5" t="str">
        <f>IF('Jelenlét'!H3="Jövök :)",'Jelenlét'!$AA3,"")</f>
        <v/>
      </c>
      <c r="I3" s="5" t="str">
        <f>IF('Jelenlét'!I3="Jövök :)",'Jelenlét'!$AA3,"")</f>
        <v/>
      </c>
      <c r="J3" s="5" t="str">
        <f>IF('Jelenlét'!J3="Jövök :)",'Jelenlét'!$AA3,"")</f>
        <v/>
      </c>
      <c r="K3" s="5" t="str">
        <f>IF('Jelenlét'!K3="Jövök :)",'Jelenlét'!$AA3,"")</f>
        <v/>
      </c>
      <c r="L3" s="5" t="str">
        <f>IF('Jelenlét'!L3="Jövök :)",'Jelenlét'!$AA3,"")</f>
        <v/>
      </c>
      <c r="M3" s="5" t="str">
        <f>IF('Jelenlét'!M3="Jövök :)",'Jelenlét'!$AA3,"")</f>
        <v/>
      </c>
      <c r="N3" s="5" t="str">
        <f>IF('Jelenlét'!N3="Jövök :)",'Jelenlét'!$AA3,"")</f>
        <v/>
      </c>
      <c r="O3" s="5" t="str">
        <f>IF('Jelenlét'!O3="Jövök :)",'Jelenlét'!$AA3,"")</f>
        <v/>
      </c>
      <c r="P3" s="5" t="str">
        <f>IF('Jelenlét'!P3="Jövök :)",'Jelenlét'!$AA3,"")</f>
        <v/>
      </c>
      <c r="Q3" s="5" t="str">
        <f>IF('Jelenlét'!Q3="Jövök :)",'Jelenlét'!$AA3,"")</f>
        <v/>
      </c>
      <c r="R3" s="5" t="str">
        <f>IF('Jelenlét'!R3="Jövök :)",'Jelenlét'!$AA3,"")</f>
        <v/>
      </c>
      <c r="S3" s="5" t="str">
        <f>IF('Jelenlét'!Y3="Jövök :)",'Jelenlét'!AV3,"")</f>
        <v/>
      </c>
      <c r="T3" s="5" t="str">
        <f>IF('Jelenlét'!AA3="Jövök :)",'Jelenlét'!AW3,"")</f>
        <v/>
      </c>
      <c r="U3" s="5"/>
      <c r="V3" s="5" t="str">
        <f>IF('Jelenlét'!AB3="Jövök :)",'Jelenlét'!AY3,"")</f>
        <v/>
      </c>
      <c r="W3" s="5"/>
      <c r="X3" s="5"/>
      <c r="Y3" s="5"/>
    </row>
    <row r="4">
      <c r="A4" s="6">
        <v>45608.0</v>
      </c>
      <c r="B4" s="5">
        <f>IF('Jelenlét'!B4="Jövök :)",'Jelenlét'!$Z4,"")</f>
        <v>2712.5</v>
      </c>
      <c r="C4" s="5" t="str">
        <f>IF('Jelenlét'!C4="Jövök :)",'Jelenlét'!$Z4,"")</f>
        <v/>
      </c>
      <c r="D4" s="5">
        <f>IF('Jelenlét'!D4="Jövök :)",'Jelenlét'!$Z4,"")</f>
        <v>2712.5</v>
      </c>
      <c r="E4" s="5" t="str">
        <f>IF('Jelenlét'!E4="Jövök :)",'Jelenlét'!$Z4,"")</f>
        <v/>
      </c>
      <c r="F4" s="5">
        <f>IF('Jelenlét'!F4="Jövök :)",'Jelenlét'!$Z4,"")</f>
        <v>2712.5</v>
      </c>
      <c r="G4" s="5">
        <f>IF('Jelenlét'!G4="Jövök :)",'Jelenlét'!$Z4,"")</f>
        <v>2712.5</v>
      </c>
      <c r="H4" s="5">
        <f>IF('Jelenlét'!H4="Jövök :)",'Jelenlét'!$Z4,"")</f>
        <v>2712.5</v>
      </c>
      <c r="I4" s="5">
        <f>IF('Jelenlét'!I4="Jövök :)",'Jelenlét'!$Z4,"")</f>
        <v>2712.5</v>
      </c>
      <c r="J4" s="5">
        <f>IF('Jelenlét'!J4="Jövök :)",'Jelenlét'!$Z4,"")</f>
        <v>2712.5</v>
      </c>
      <c r="K4" s="5" t="str">
        <f>IF('Jelenlét'!K4="Jövök :)",'Jelenlét'!$Z4,"")</f>
        <v/>
      </c>
      <c r="L4" s="5">
        <f>IF('Jelenlét'!L4="Jövök :)",'Jelenlét'!$Z4,"")</f>
        <v>2712.5</v>
      </c>
      <c r="M4" s="5" t="str">
        <f>IF('Jelenlét'!M4="Jövök :)",'Jelenlét'!$Z4,"")</f>
        <v/>
      </c>
      <c r="N4" s="5" t="str">
        <f>IF('Jelenlét'!N4="Jövök :)",'Jelenlét'!$Z4,"")</f>
        <v/>
      </c>
      <c r="O4" s="5" t="str">
        <f>IF('Jelenlét'!O4="Jövök :)",'Jelenlét'!$Z4,"")</f>
        <v/>
      </c>
      <c r="P4" s="5" t="str">
        <f>IF('Jelenlét'!P4="Jövök :)",'Jelenlét'!$Z4,"")</f>
        <v/>
      </c>
      <c r="Q4" s="5" t="str">
        <f>IF('Jelenlét'!Q4="Jövök :)",'Jelenlét'!$Z4,"")</f>
        <v/>
      </c>
      <c r="R4" s="5" t="str">
        <f>IF('Jelenlét'!R4="Jövök :)",'Jelenlét'!$Z4,"")</f>
        <v/>
      </c>
      <c r="S4" s="5" t="str">
        <f>IF('Jelenlét'!Y4="Jövök :)",'Jelenlét'!AV4,"")</f>
        <v/>
      </c>
      <c r="T4" s="5" t="str">
        <f>IF('Jelenlét'!Z4="Jövök :)",'Jelenlét'!AW4,"")</f>
        <v/>
      </c>
      <c r="U4" s="5" t="str">
        <f>IF('Jelenlét'!AA4="Jövök :)",'Jelenlét'!AX4,"")</f>
        <v/>
      </c>
      <c r="V4" s="5" t="str">
        <f>IF('Jelenlét'!AB4="Jövök :)",'Jelenlét'!AY4,"")</f>
        <v/>
      </c>
      <c r="W4" s="5"/>
      <c r="X4" s="5"/>
      <c r="Y4" s="5"/>
    </row>
    <row r="5">
      <c r="A5" s="6">
        <v>45615.0</v>
      </c>
      <c r="B5" s="5">
        <f>IF('Jelenlét'!B5="Jövök :)",'Jelenlét'!$Z5,"")</f>
        <v>2170</v>
      </c>
      <c r="C5" s="5" t="str">
        <f>IF('Jelenlét'!C5="Jövök :)",'Jelenlét'!$Z5,"")</f>
        <v/>
      </c>
      <c r="D5" s="5">
        <f>IF('Jelenlét'!D5="Jövök :)",'Jelenlét'!$Z5,"")</f>
        <v>2170</v>
      </c>
      <c r="E5" s="5">
        <f>IF('Jelenlét'!E5="Jövök :)",'Jelenlét'!$Z5,"")</f>
        <v>2170</v>
      </c>
      <c r="F5" s="5">
        <f>IF('Jelenlét'!F5="Jövök :)",'Jelenlét'!$Z5,"")</f>
        <v>2170</v>
      </c>
      <c r="G5" s="5">
        <f>IF('Jelenlét'!G5="Jövök :)",'Jelenlét'!$Z5,"")</f>
        <v>2170</v>
      </c>
      <c r="H5" s="5">
        <f>IF('Jelenlét'!H5="Jövök :)",'Jelenlét'!$Z5,"")</f>
        <v>2170</v>
      </c>
      <c r="I5" s="5">
        <f>IF('Jelenlét'!I5="Jövök :)",'Jelenlét'!$Z5,"")</f>
        <v>2170</v>
      </c>
      <c r="J5" s="5">
        <f>IF('Jelenlét'!J5="Jövök :)",'Jelenlét'!$Z5,"")</f>
        <v>2170</v>
      </c>
      <c r="K5" s="5">
        <f>IF('Jelenlét'!K5="Jövök :)",'Jelenlét'!$Z5,"")</f>
        <v>2170</v>
      </c>
      <c r="L5" s="5" t="str">
        <f>IF('Jelenlét'!L5="Jövök :)",'Jelenlét'!$Z5,"")</f>
        <v/>
      </c>
      <c r="M5" s="5" t="str">
        <f>IF('Jelenlét'!M5="Jövök :)",'Jelenlét'!$Z5,"")</f>
        <v/>
      </c>
      <c r="N5" s="5" t="str">
        <f>IF('Jelenlét'!N5="Jövök :)",'Jelenlét'!$Z5,"")</f>
        <v/>
      </c>
      <c r="O5" s="5" t="str">
        <f>IF('Jelenlét'!O5="Jövök :)",'Jelenlét'!$Z5,"")</f>
        <v/>
      </c>
      <c r="P5" s="5" t="str">
        <f>IF('Jelenlét'!P5="Jövök :)",'Jelenlét'!$Z5,"")</f>
        <v/>
      </c>
      <c r="Q5" s="5">
        <f>IF('Jelenlét'!Q5="Jövök :)",'Jelenlét'!$Z5,"")</f>
        <v>2170</v>
      </c>
      <c r="R5" s="5" t="str">
        <f>IF('Jelenlét'!R5="Jövök :)",'Jelenlét'!$Z5,"")</f>
        <v/>
      </c>
      <c r="S5" s="5" t="str">
        <f>IF('Jelenlét'!Y5="Jövök :)",'Jelenlét'!AV5,"")</f>
        <v/>
      </c>
      <c r="T5" s="5" t="str">
        <f>IF('Jelenlét'!Z5="Jövök :)",'Jelenlét'!AW5,"")</f>
        <v/>
      </c>
      <c r="U5" s="5" t="str">
        <f>IF('Jelenlét'!AA5="Jövök :)",'Jelenlét'!AX5,"")</f>
        <v/>
      </c>
      <c r="V5" s="5" t="str">
        <f>IF('Jelenlét'!AB5="Jövök :)",'Jelenlét'!AY5,"")</f>
        <v/>
      </c>
      <c r="W5" s="5"/>
      <c r="X5" s="5"/>
      <c r="Y5" s="5"/>
    </row>
    <row r="6">
      <c r="A6" s="6">
        <v>45622.0</v>
      </c>
      <c r="B6" s="5">
        <f>IF('Jelenlét'!B6="Jövök :)",'Jelenlét'!$Z6,"")</f>
        <v>2411.111111</v>
      </c>
      <c r="C6" s="5" t="str">
        <f>IF('Jelenlét'!C6="Jövök :)",'Jelenlét'!$Z6,"")</f>
        <v/>
      </c>
      <c r="D6" s="5" t="str">
        <f>IF('Jelenlét'!D6="Jövök :)",'Jelenlét'!$Z6,"")</f>
        <v/>
      </c>
      <c r="E6" s="5" t="str">
        <f>IF('Jelenlét'!E6="Jövök :)",'Jelenlét'!$Z6,"")</f>
        <v/>
      </c>
      <c r="F6" s="5">
        <f>IF('Jelenlét'!F6="Jövök :)",'Jelenlét'!$Z6,"")</f>
        <v>2411.111111</v>
      </c>
      <c r="G6" s="5">
        <f>IF('Jelenlét'!G6="Jövök :)",'Jelenlét'!$Z6,"")</f>
        <v>2411.111111</v>
      </c>
      <c r="H6" s="5">
        <f>IF('Jelenlét'!H6="Jövök :)",'Jelenlét'!$Z6,"")</f>
        <v>2411.111111</v>
      </c>
      <c r="I6" s="5">
        <f>IF('Jelenlét'!I6="Jövök :)",'Jelenlét'!$Z6,"")</f>
        <v>2411.111111</v>
      </c>
      <c r="J6" s="5">
        <f>IF('Jelenlét'!J6="Jövök :)",'Jelenlét'!$Z6,"")</f>
        <v>2411.111111</v>
      </c>
      <c r="K6" s="5" t="str">
        <f>IF('Jelenlét'!K6="Jövök :)",'Jelenlét'!$Z6,"")</f>
        <v/>
      </c>
      <c r="L6" s="5">
        <f>IF('Jelenlét'!L6="Jövök :)",'Jelenlét'!$Z6,"")</f>
        <v>2411.111111</v>
      </c>
      <c r="M6" s="5" t="str">
        <f>IF('Jelenlét'!M6="Jövök :)",'Jelenlét'!$Z6,"")</f>
        <v/>
      </c>
      <c r="N6" s="5" t="str">
        <f>IF('Jelenlét'!N6="Jövök :)",'Jelenlét'!$Z6,"")</f>
        <v/>
      </c>
      <c r="O6" s="5" t="str">
        <f>IF('Jelenlét'!O6="Jövök :)",'Jelenlét'!$Z6,"")</f>
        <v/>
      </c>
      <c r="P6" s="5">
        <f>IF('Jelenlét'!P6="Jövök :)",'Jelenlét'!$Z6,"")</f>
        <v>2411.111111</v>
      </c>
      <c r="Q6" s="5" t="str">
        <f>IF('Jelenlét'!Q6="Jövök :)",'Jelenlét'!$Z6,"")</f>
        <v/>
      </c>
      <c r="R6" s="5">
        <f>IF('Jelenlét'!R6="Jövök :)",'Jelenlét'!$Z6,"")</f>
        <v>2411.111111</v>
      </c>
      <c r="S6" s="5" t="str">
        <f>IF('Jelenlét'!Y6="Jövök :)",'Jelenlét'!AV6,"")</f>
        <v/>
      </c>
      <c r="T6" s="5" t="str">
        <f>IF('Jelenlét'!Z6="Jövök :)",'Jelenlét'!AW6,"")</f>
        <v/>
      </c>
      <c r="U6" s="5" t="str">
        <f>IF('Jelenlét'!AA6="Jövök :)",'Jelenlét'!AX6,"")</f>
        <v/>
      </c>
      <c r="V6" s="5" t="str">
        <f>IF('Jelenlét'!AB6="Jövök :)",'Jelenlét'!AY6,"")</f>
        <v/>
      </c>
      <c r="W6" s="5"/>
      <c r="X6" s="5"/>
      <c r="Y6" s="5"/>
    </row>
    <row r="7">
      <c r="A7" s="8">
        <v>45629.0</v>
      </c>
      <c r="B7" s="5" t="str">
        <f>IF('Jelenlét'!B7="Jövök :)",'Jelenlét'!$Z7,"")</f>
        <v/>
      </c>
      <c r="C7" s="5" t="str">
        <f>IF('Jelenlét'!C7="Jövök :)",'Jelenlét'!$Z7,"")</f>
        <v/>
      </c>
      <c r="D7" s="5">
        <f>IF('Jelenlét'!D7="Jövök :)",'Jelenlét'!$Z7,"")</f>
        <v>2712.5</v>
      </c>
      <c r="E7" s="5" t="str">
        <f>IF('Jelenlét'!E7="Jövök :)",'Jelenlét'!$Z7,"")</f>
        <v/>
      </c>
      <c r="F7" s="5">
        <f>IF('Jelenlét'!F7="Jövök :)",'Jelenlét'!$Z7,"")</f>
        <v>2712.5</v>
      </c>
      <c r="G7" s="5">
        <f>IF('Jelenlét'!G7="Jövök :)",'Jelenlét'!$Z7,"")</f>
        <v>2712.5</v>
      </c>
      <c r="H7" s="5" t="str">
        <f>IF('Jelenlét'!H7="Jövök :)",'Jelenlét'!$Z7,"")</f>
        <v/>
      </c>
      <c r="I7" s="5">
        <f>IF('Jelenlét'!I7="Jövök :)",'Jelenlét'!$Z7,"")</f>
        <v>2712.5</v>
      </c>
      <c r="J7" s="5">
        <f>IF('Jelenlét'!J7="Jövök :)",'Jelenlét'!$Z7,"")</f>
        <v>2712.5</v>
      </c>
      <c r="K7" s="5" t="str">
        <f>IF('Jelenlét'!K7="Jövök :)",'Jelenlét'!$Z7,"")</f>
        <v/>
      </c>
      <c r="L7" s="5" t="str">
        <f>IF('Jelenlét'!L7="Jövök :)",'Jelenlét'!$Z7,"")</f>
        <v/>
      </c>
      <c r="M7" s="5" t="str">
        <f>IF('Jelenlét'!M7="Jövök :)",'Jelenlét'!$Z7,"")</f>
        <v/>
      </c>
      <c r="N7" s="5" t="str">
        <f>IF('Jelenlét'!N7="Jövök :)",'Jelenlét'!$Z7,"")</f>
        <v/>
      </c>
      <c r="O7" s="5">
        <f>IF('Jelenlét'!O7="Jövök :)",'Jelenlét'!$Z7,"")</f>
        <v>2712.5</v>
      </c>
      <c r="P7" s="5" t="str">
        <f>IF('Jelenlét'!P7="Jövök :)",'Jelenlét'!$Z7,"")</f>
        <v/>
      </c>
      <c r="Q7" s="5" t="str">
        <f>IF('Jelenlét'!Q7="Jövök :)",'Jelenlét'!$Z7,"")</f>
        <v/>
      </c>
      <c r="R7" s="5">
        <f>IF('Jelenlét'!R7="Jövök :)",'Jelenlét'!$Z7,"")</f>
        <v>2712.5</v>
      </c>
      <c r="S7" s="5" t="str">
        <f>IF('Jelenlét'!S7="Jövök :)",'Jelenlét'!$Z7,"")</f>
        <v/>
      </c>
      <c r="T7" s="5" t="str">
        <f>IF('Jelenlét'!T7="Jövök :)",'Jelenlét'!$Z7,"")</f>
        <v/>
      </c>
      <c r="U7" s="5" t="str">
        <f>IF('Jelenlét'!U7="Jövök :)",'Jelenlét'!$Z7,"")</f>
        <v/>
      </c>
      <c r="V7" s="5" t="str">
        <f>IF('Jelenlét'!AB7="Jövök :)",'Jelenlét'!AY7,"")</f>
        <v/>
      </c>
      <c r="W7" s="5">
        <f>'Jelenlét'!W7* 'Jelenlét'!Z7</f>
        <v>2712.5</v>
      </c>
      <c r="X7" s="5"/>
      <c r="Y7" s="5"/>
    </row>
    <row r="8">
      <c r="A8" s="6">
        <v>45636.0</v>
      </c>
      <c r="B8" s="5">
        <f>IF('Jelenlét'!B8="Jövök :)",'Jelenlét'!$Z8,"")</f>
        <v>1669.230769</v>
      </c>
      <c r="C8" s="5">
        <f>IF('Jelenlét'!C8="Jövök :)",'Jelenlét'!$Z8,"")</f>
        <v>1669.230769</v>
      </c>
      <c r="D8" s="5">
        <f>IF('Jelenlét'!D8="Jövök :)",'Jelenlét'!$Z8,"")</f>
        <v>1669.230769</v>
      </c>
      <c r="E8" s="5">
        <f>IF('Jelenlét'!E8="Jövök :)",'Jelenlét'!$Z8,"")</f>
        <v>1669.230769</v>
      </c>
      <c r="F8" s="5">
        <f>IF('Jelenlét'!F8="Jövök :)",'Jelenlét'!$Z8,"")</f>
        <v>1669.230769</v>
      </c>
      <c r="G8" s="5">
        <f>IF('Jelenlét'!G8="Jövök :)",'Jelenlét'!$Z8,"")</f>
        <v>1669.230769</v>
      </c>
      <c r="H8" s="5" t="str">
        <f>IF('Jelenlét'!H8="Jövök :)",'Jelenlét'!$Z8,"")</f>
        <v/>
      </c>
      <c r="I8" s="5" t="str">
        <f>IF('Jelenlét'!I8="Jövök :)",'Jelenlét'!$Z8,"")</f>
        <v/>
      </c>
      <c r="J8" s="5">
        <f>IF('Jelenlét'!J8="Jövök :)",'Jelenlét'!$Z8,"")</f>
        <v>1669.230769</v>
      </c>
      <c r="K8" s="5" t="str">
        <f>IF('Jelenlét'!K8="Jövök :)",'Jelenlét'!$Z8,"")</f>
        <v/>
      </c>
      <c r="L8" s="5">
        <f>IF('Jelenlét'!L8="Jövök :)",'Jelenlét'!$Z8,"")</f>
        <v>1669.230769</v>
      </c>
      <c r="M8" s="5" t="str">
        <f>IF('Jelenlét'!M8="Jövök :)",'Jelenlét'!$Z8,"")</f>
        <v/>
      </c>
      <c r="N8" s="5" t="str">
        <f>IF('Jelenlét'!N8="Jövök :)",'Jelenlét'!$Z8,"")</f>
        <v/>
      </c>
      <c r="O8" s="5" t="str">
        <f>IF('Jelenlét'!O8="Jövök :)",'Jelenlét'!$Z8,"")</f>
        <v/>
      </c>
      <c r="P8" s="5" t="str">
        <f>IF('Jelenlét'!P8="Jövök :)",'Jelenlét'!$Z8,"")</f>
        <v/>
      </c>
      <c r="Q8" s="5" t="str">
        <f>IF('Jelenlét'!Q8="Jövök :)",'Jelenlét'!$Z8,"")</f>
        <v/>
      </c>
      <c r="R8" s="5">
        <f>IF('Jelenlét'!R8="Jövök :)",'Jelenlét'!$Z8,"")</f>
        <v>1669.230769</v>
      </c>
      <c r="S8" s="5">
        <f>IF('Jelenlét'!S8="Jövök :)",'Jelenlét'!$Z8,"")</f>
        <v>1669.230769</v>
      </c>
      <c r="T8" s="5">
        <f>IF('Jelenlét'!T8="Jövök :)",'Jelenlét'!$Z8,"")</f>
        <v>1669.230769</v>
      </c>
      <c r="U8" s="5" t="str">
        <f>IF('Jelenlét'!U8="Jövök :)",'Jelenlét'!$Z8,"")</f>
        <v/>
      </c>
      <c r="V8" s="5" t="str">
        <f>IF('Jelenlét'!AB8="Jövök :)",'Jelenlét'!AY8,"")</f>
        <v/>
      </c>
      <c r="W8" s="5">
        <f>'Jelenlét'!W8* 'Jelenlét'!Z8</f>
        <v>3338.461538</v>
      </c>
      <c r="X8" s="5"/>
      <c r="Y8" s="5"/>
    </row>
    <row r="9">
      <c r="A9" s="6">
        <v>45643.0</v>
      </c>
      <c r="B9" s="5" t="str">
        <f>IF('Jelenlét'!B9="Jövök :)",'Jelenlét'!$Z9,"")</f>
        <v/>
      </c>
      <c r="C9" s="5" t="str">
        <f>IF('Jelenlét'!C9="Jövök :)",'Jelenlét'!$Z9,"")</f>
        <v/>
      </c>
      <c r="D9" s="5">
        <f>IF('Jelenlét'!D9="Jövök :)",'Jelenlét'!$Z9,"")</f>
        <v>2863.636364</v>
      </c>
      <c r="E9" s="5">
        <f>IF('Jelenlét'!E9="Jövök :)",'Jelenlét'!$Z9,"")</f>
        <v>2863.636364</v>
      </c>
      <c r="F9" s="5">
        <f>IF('Jelenlét'!F9="Jövök :)",'Jelenlét'!$Z9,"")</f>
        <v>2863.636364</v>
      </c>
      <c r="G9" s="5">
        <f>IF('Jelenlét'!G9="Jövök :)",'Jelenlét'!$Z9,"")</f>
        <v>2863.636364</v>
      </c>
      <c r="H9" s="5">
        <f>IF('Jelenlét'!H9="Jövök :)",'Jelenlét'!$Z9,"")</f>
        <v>2863.636364</v>
      </c>
      <c r="I9" s="5" t="str">
        <f>IF('Jelenlét'!I9="Jövök :)",'Jelenlét'!$Z9,"")</f>
        <v/>
      </c>
      <c r="J9" s="5">
        <f>IF('Jelenlét'!J9="Jövök :)",'Jelenlét'!$Z9,"")</f>
        <v>2863.636364</v>
      </c>
      <c r="K9" s="5">
        <f>IF('Jelenlét'!K9="Jövök :)",'Jelenlét'!$Z9,"")</f>
        <v>2863.636364</v>
      </c>
      <c r="L9" s="5" t="str">
        <f>IF('Jelenlét'!L9="Jövök :)",'Jelenlét'!$Z9,"")</f>
        <v/>
      </c>
      <c r="M9" s="5" t="str">
        <f>IF('Jelenlét'!M9="Jövök :)",'Jelenlét'!$Z9,"")</f>
        <v/>
      </c>
      <c r="N9" s="5" t="str">
        <f>IF('Jelenlét'!N9="Jövök :)",'Jelenlét'!$Z9,"")</f>
        <v/>
      </c>
      <c r="O9" s="5">
        <f>IF('Jelenlét'!O9="Jövök :)",'Jelenlét'!$Z9,"")</f>
        <v>2863.636364</v>
      </c>
      <c r="P9" s="5" t="str">
        <f>IF('Jelenlét'!P9="Jövök :)",'Jelenlét'!$Z9,"")</f>
        <v/>
      </c>
      <c r="Q9" s="5" t="str">
        <f>IF('Jelenlét'!Q9="Jövök :)",'Jelenlét'!$Z9,"")</f>
        <v/>
      </c>
      <c r="R9" s="5">
        <f>IF('Jelenlét'!R9="Jövök :)",'Jelenlét'!$Z9,"")</f>
        <v>2863.636364</v>
      </c>
      <c r="S9" s="5" t="str">
        <f>IF('Jelenlét'!S9="Jövök :)",'Jelenlét'!$Z9,"")</f>
        <v/>
      </c>
      <c r="T9" s="5">
        <f>IF('Jelenlét'!T9="Jövök :)",'Jelenlét'!$Z9,"")</f>
        <v>2863.636364</v>
      </c>
      <c r="U9" s="5">
        <f>IF('Jelenlét'!U9="Jövök :)",'Jelenlét'!$Z9,"")</f>
        <v>2863.636364</v>
      </c>
      <c r="V9" s="5" t="str">
        <f>IF('Jelenlét'!AB9="Jövök :)",'Jelenlét'!AY9,"")</f>
        <v/>
      </c>
      <c r="W9" s="5">
        <f>'Jelenlét'!W9* 'Jelenlét'!Z9</f>
        <v>0</v>
      </c>
      <c r="X9" s="5"/>
      <c r="Y9" s="5"/>
    </row>
    <row r="10">
      <c r="A10" s="8">
        <v>45664.0</v>
      </c>
      <c r="B10" s="5" t="str">
        <f>IF('Jelenlét'!B10="Jövök :)",'Jelenlét'!$Z10,"")</f>
        <v/>
      </c>
      <c r="C10" s="5" t="str">
        <f>IF('Jelenlét'!C10="Jövök :)",'Jelenlét'!$Z10,"")</f>
        <v/>
      </c>
      <c r="D10" s="5">
        <f>IF('Jelenlét'!D10="Jövök :)",'Jelenlét'!$Z10,"")</f>
        <v>2642.5</v>
      </c>
      <c r="E10" s="5" t="str">
        <f>IF('Jelenlét'!E10="Jövök :)",'Jelenlét'!$Z10,"")</f>
        <v/>
      </c>
      <c r="F10" s="5" t="str">
        <f>IF('Jelenlét'!F10="Jövök :)",'Jelenlét'!$Z10,"")</f>
        <v/>
      </c>
      <c r="G10" s="5">
        <f>IF('Jelenlét'!G10="Jövök :)",'Jelenlét'!$Z10,"")</f>
        <v>2642.5</v>
      </c>
      <c r="H10" s="5">
        <f>IF('Jelenlét'!H10="Jövök :)",'Jelenlét'!$Z10,"")</f>
        <v>2642.5</v>
      </c>
      <c r="I10" s="5">
        <f>IF('Jelenlét'!I10="Jövök :)",'Jelenlét'!$Z10,"")</f>
        <v>2642.5</v>
      </c>
      <c r="J10" s="5">
        <f>IF('Jelenlét'!J10="Jövök :)",'Jelenlét'!$Z10,"")</f>
        <v>2642.5</v>
      </c>
      <c r="K10" s="5" t="str">
        <f>IF('Jelenlét'!K10="Jövök :)",'Jelenlét'!$Z10,"")</f>
        <v/>
      </c>
      <c r="L10" s="5" t="str">
        <f>IF('Jelenlét'!L10="Jövök :)",'Jelenlét'!$Z10,"")</f>
        <v/>
      </c>
      <c r="M10" s="5" t="str">
        <f>IF('Jelenlét'!M10="Jövök :)",'Jelenlét'!$Z10,"")</f>
        <v/>
      </c>
      <c r="N10" s="5" t="str">
        <f>IF('Jelenlét'!N10="Jövök :)",'Jelenlét'!$Z10,"")</f>
        <v/>
      </c>
      <c r="O10" s="5" t="str">
        <f>IF('Jelenlét'!O10="Jövök :)",'Jelenlét'!$Z10,"")</f>
        <v/>
      </c>
      <c r="P10" s="5" t="str">
        <f>IF('Jelenlét'!P10="Jövök :)",'Jelenlét'!$Z10,"")</f>
        <v/>
      </c>
      <c r="Q10" s="5" t="str">
        <f>IF('Jelenlét'!Q10="Jövök :)",'Jelenlét'!$Z10,"")</f>
        <v/>
      </c>
      <c r="R10" s="5">
        <f>IF('Jelenlét'!R10="Jövök :)",'Jelenlét'!$Z10,"")</f>
        <v>2642.5</v>
      </c>
      <c r="S10" s="5" t="str">
        <f>IF('Jelenlét'!S10="Jövök :)",'Jelenlét'!$Z10,"")</f>
        <v/>
      </c>
      <c r="T10" s="5">
        <f>IF('Jelenlét'!T10="Jövök :)",'Jelenlét'!$Z10,"")</f>
        <v>2642.5</v>
      </c>
      <c r="U10" s="5">
        <f>IF('Jelenlét'!U10="Jövök :)",'Jelenlét'!$Z10,"")</f>
        <v>2642.5</v>
      </c>
      <c r="V10" s="5" t="str">
        <f>IF('Jelenlét'!AB10="Jövök :)",'Jelenlét'!AY10,"")</f>
        <v/>
      </c>
      <c r="W10" s="5">
        <f>'Jelenlét'!W10* 'Jelenlét'!Z10</f>
        <v>0</v>
      </c>
      <c r="X10" s="5"/>
      <c r="Y10" s="5"/>
    </row>
    <row r="11">
      <c r="A11" s="8">
        <v>45671.0</v>
      </c>
      <c r="B11" s="5" t="str">
        <f>IF('Jelenlét'!B11="Jövök :)",'Jelenlét'!$Z11,"")</f>
        <v/>
      </c>
      <c r="C11" s="5">
        <f>IF('Jelenlét'!C11="Jövök :)",'Jelenlét'!$Z11,"")</f>
        <v>2114</v>
      </c>
      <c r="D11" s="5">
        <f>IF('Jelenlét'!D11="Jövök :)",'Jelenlét'!$Z11,"")</f>
        <v>2114</v>
      </c>
      <c r="E11" s="5">
        <f>IF('Jelenlét'!E11="Jövök :)",'Jelenlét'!$Z11,"")</f>
        <v>2114</v>
      </c>
      <c r="F11" s="5" t="str">
        <f>IF('Jelenlét'!F11="Jövök :)",'Jelenlét'!$Z11,"")</f>
        <v/>
      </c>
      <c r="G11" s="5">
        <f>IF('Jelenlét'!G11="Jövök :)",'Jelenlét'!$Z11,"")</f>
        <v>2114</v>
      </c>
      <c r="H11" s="5" t="str">
        <f>IF('Jelenlét'!H11="Jövök :)",'Jelenlét'!$Z11,"")</f>
        <v/>
      </c>
      <c r="I11" s="5">
        <f>IF('Jelenlét'!I11="Jövök :)",'Jelenlét'!$Z11,"")</f>
        <v>2114</v>
      </c>
      <c r="J11" s="5">
        <f>IF('Jelenlét'!J11="Jövök :)",'Jelenlét'!$Z11,"")</f>
        <v>2114</v>
      </c>
      <c r="K11" s="5" t="str">
        <f>IF('Jelenlét'!K11="Jövök :)",'Jelenlét'!$Z11,"")</f>
        <v/>
      </c>
      <c r="L11" s="5" t="str">
        <f>IF('Jelenlét'!L11="Jövök :)",'Jelenlét'!$Z11,"")</f>
        <v/>
      </c>
      <c r="M11" s="5" t="str">
        <f>IF('Jelenlét'!M11="Jövök :)",'Jelenlét'!$Z11,"")</f>
        <v/>
      </c>
      <c r="N11" s="5" t="str">
        <f>IF('Jelenlét'!N11="Jövök :)",'Jelenlét'!$Z11,"")</f>
        <v/>
      </c>
      <c r="O11" s="5" t="str">
        <f>IF('Jelenlét'!O11="Jövök :)",'Jelenlét'!$Z11,"")</f>
        <v/>
      </c>
      <c r="P11" s="5" t="str">
        <f>IF('Jelenlét'!P11="Jövök :)",'Jelenlét'!$Z11,"")</f>
        <v/>
      </c>
      <c r="Q11" s="5" t="str">
        <f>IF('Jelenlét'!Q11="Jövök :)",'Jelenlét'!$Z11,"")</f>
        <v/>
      </c>
      <c r="R11" s="5">
        <f>IF('Jelenlét'!R11="Jövök :)",'Jelenlét'!$Z11,"")</f>
        <v>2114</v>
      </c>
      <c r="S11" s="5">
        <f>IF('Jelenlét'!S11="Jövök :)",'Jelenlét'!$Z11,"")</f>
        <v>2114</v>
      </c>
      <c r="T11" s="5">
        <f>IF('Jelenlét'!T11="Jövök :)",'Jelenlét'!$Z11,"")</f>
        <v>2114</v>
      </c>
      <c r="U11" s="5">
        <f>IF('Jelenlét'!U11="Jövök :)",'Jelenlét'!$Z11,"")</f>
        <v>2114</v>
      </c>
      <c r="V11" s="5" t="str">
        <f>IF('Jelenlét'!AB11="Jövök :)",'Jelenlét'!AY11,"")</f>
        <v/>
      </c>
      <c r="W11" s="5">
        <f>'Jelenlét'!W11* 'Jelenlét'!Z11</f>
        <v>0</v>
      </c>
      <c r="X11" s="5"/>
      <c r="Y11" s="5"/>
    </row>
    <row r="12">
      <c r="A12" s="8">
        <v>45678.0</v>
      </c>
      <c r="B12" s="5" t="str">
        <f>IF('Jelenlét'!B12="Jövök :)",'Jelenlét'!$Z12,"")</f>
        <v/>
      </c>
      <c r="C12" s="5">
        <f>IF('Jelenlét'!C12="Jövök :)",'Jelenlét'!$Z12,"")</f>
        <v>1921.818182</v>
      </c>
      <c r="D12" s="5" t="str">
        <f>IF('Jelenlét'!D12="Jövök :)",'Jelenlét'!$Z12,"")</f>
        <v/>
      </c>
      <c r="E12" s="5">
        <f>IF('Jelenlét'!E12="Jövök :)",'Jelenlét'!$Z12,"")</f>
        <v>1921.818182</v>
      </c>
      <c r="F12" s="5" t="str">
        <f>IF('Jelenlét'!F12="Jövök :)",'Jelenlét'!$Z12,"")</f>
        <v/>
      </c>
      <c r="G12" s="5">
        <f>IF('Jelenlét'!G12="Jövök :)",'Jelenlét'!$Z12,"")</f>
        <v>1921.818182</v>
      </c>
      <c r="H12" s="5" t="str">
        <f>IF('Jelenlét'!H12="Jövök :)",'Jelenlét'!$Z12,"")</f>
        <v/>
      </c>
      <c r="I12" s="5">
        <f>IF('Jelenlét'!I12="Jövök :)",'Jelenlét'!$Z12,"")</f>
        <v>1921.818182</v>
      </c>
      <c r="J12" s="5">
        <f>IF('Jelenlét'!J12="Jövök :)",'Jelenlét'!$Z12,"")</f>
        <v>1921.818182</v>
      </c>
      <c r="K12" s="5" t="str">
        <f>IF('Jelenlét'!K12="Jövök :)",'Jelenlét'!$Z12,"")</f>
        <v/>
      </c>
      <c r="L12" s="5" t="str">
        <f>IF('Jelenlét'!L12="Jövök :)",'Jelenlét'!$Z12,"")</f>
        <v/>
      </c>
      <c r="M12" s="5">
        <f>IF('Jelenlét'!M12="Jövök :)",'Jelenlét'!$Z12,"")</f>
        <v>1921.818182</v>
      </c>
      <c r="N12" s="5" t="str">
        <f>IF('Jelenlét'!N12="Jövök :)",'Jelenlét'!$Z12,"")</f>
        <v/>
      </c>
      <c r="O12" s="5" t="str">
        <f>IF('Jelenlét'!O12="Jövök :)",'Jelenlét'!$Z12,"")</f>
        <v/>
      </c>
      <c r="P12" s="5" t="str">
        <f>IF('Jelenlét'!P12="Jövök :)",'Jelenlét'!$Z12,"")</f>
        <v/>
      </c>
      <c r="Q12" s="5" t="str">
        <f>IF('Jelenlét'!Q12="Jövök :)",'Jelenlét'!$Z12,"")</f>
        <v/>
      </c>
      <c r="R12" s="5">
        <f>IF('Jelenlét'!R12="Jövök :)",'Jelenlét'!$Z12,"")</f>
        <v>1921.818182</v>
      </c>
      <c r="S12" s="5">
        <f>IF('Jelenlét'!S12="Jövök :)",'Jelenlét'!$Z12,"")</f>
        <v>1921.818182</v>
      </c>
      <c r="T12" s="5">
        <f>IF('Jelenlét'!T12="Jövök :)",'Jelenlét'!$Z12,"")</f>
        <v>1921.818182</v>
      </c>
      <c r="U12" s="5">
        <f>IF('Jelenlét'!U12="Jövök :)",'Jelenlét'!$Z12,"")</f>
        <v>1921.818182</v>
      </c>
      <c r="V12" s="5" t="str">
        <f>IF('Jelenlét'!AB12="Jövök :)",'Jelenlét'!AY12,"")</f>
        <v/>
      </c>
      <c r="W12" s="5">
        <f>'Jelenlét'!W12* 'Jelenlét'!Z12</f>
        <v>1921.818182</v>
      </c>
      <c r="X12" s="5"/>
      <c r="Y12" s="5"/>
    </row>
    <row r="13">
      <c r="A13" s="8">
        <v>45685.0</v>
      </c>
      <c r="B13" s="5" t="str">
        <f>IF('Jelenlét'!B13="Jövök :)",'Jelenlét'!$Z13,"")</f>
        <v/>
      </c>
      <c r="C13" s="5">
        <f>IF('Jelenlét'!C13="Jövök :)",'Jelenlét'!$Z13,"")</f>
        <v>2114</v>
      </c>
      <c r="D13" s="5" t="str">
        <f>IF('Jelenlét'!D13="Jövök :)",'Jelenlét'!$Z13,"")</f>
        <v/>
      </c>
      <c r="E13" s="5" t="str">
        <f>IF('Jelenlét'!E13="Jövök :)",'Jelenlét'!$Z13,"")</f>
        <v/>
      </c>
      <c r="F13" s="5" t="str">
        <f>IF('Jelenlét'!F13="Jövök :)",'Jelenlét'!$Z13,"")</f>
        <v/>
      </c>
      <c r="G13" s="5">
        <f>IF('Jelenlét'!G13="Jövök :)",'Jelenlét'!$Z13,"")</f>
        <v>2114</v>
      </c>
      <c r="H13" s="5">
        <f>IF('Jelenlét'!H13="Jövök :)",'Jelenlét'!$Z13,"")</f>
        <v>2114</v>
      </c>
      <c r="I13" s="5">
        <f>IF('Jelenlét'!I13="Jövök :)",'Jelenlét'!$Z13,"")</f>
        <v>2114</v>
      </c>
      <c r="J13" s="5" t="str">
        <f>IF('Jelenlét'!J13="Jövök :)",'Jelenlét'!$Z13,"")</f>
        <v/>
      </c>
      <c r="K13" s="5" t="str">
        <f>IF('Jelenlét'!K13="Jövök :)",'Jelenlét'!$Z13,"")</f>
        <v/>
      </c>
      <c r="L13" s="5" t="str">
        <f>IF('Jelenlét'!L13="Jövök :)",'Jelenlét'!$Z13,"")</f>
        <v/>
      </c>
      <c r="M13" s="5">
        <f>IF('Jelenlét'!M13="Jövök :)",'Jelenlét'!$Z13,"")</f>
        <v>2114</v>
      </c>
      <c r="N13" s="5" t="str">
        <f>IF('Jelenlét'!N13="Jövök :)",'Jelenlét'!$Z13,"")</f>
        <v/>
      </c>
      <c r="O13" s="5" t="str">
        <f>IF('Jelenlét'!O13="Jövök :)",'Jelenlét'!$Z13,"")</f>
        <v/>
      </c>
      <c r="P13" s="5" t="str">
        <f>IF('Jelenlét'!P13="Jövök :)",'Jelenlét'!$Z13,"")</f>
        <v/>
      </c>
      <c r="Q13" s="5">
        <f>IF('Jelenlét'!Q13="Jövök :)",'Jelenlét'!$Z13,"")</f>
        <v>2114</v>
      </c>
      <c r="R13" s="5" t="str">
        <f>IF('Jelenlét'!R13="Jövök :)",'Jelenlét'!$Z13,"")</f>
        <v/>
      </c>
      <c r="S13" s="5">
        <f>IF('Jelenlét'!S13="Jövök :)",'Jelenlét'!$Z13,"")</f>
        <v>2114</v>
      </c>
      <c r="T13" s="5">
        <f>IF('Jelenlét'!T13="Jövök :)",'Jelenlét'!$Z13,"")</f>
        <v>2114</v>
      </c>
      <c r="U13" s="5" t="str">
        <f>IF('Jelenlét'!U13="Jövök :)",'Jelenlét'!$Z13,"")</f>
        <v/>
      </c>
      <c r="V13" s="5" t="str">
        <f>IF('Jelenlét'!AB13="Jövök :)",'Jelenlét'!AY13,"")</f>
        <v/>
      </c>
      <c r="W13" s="5">
        <f>'Jelenlét'!W13* 'Jelenlét'!Z13</f>
        <v>4228</v>
      </c>
      <c r="X13" s="5"/>
      <c r="Y13" s="5"/>
    </row>
    <row r="14">
      <c r="A14" s="8">
        <v>45692.0</v>
      </c>
      <c r="B14" s="5">
        <f>IF('Jelenlét'!B14="Jövök :)",'Jelenlét'!$Z14,"")</f>
        <v>2265.454545</v>
      </c>
      <c r="C14" s="5" t="str">
        <f>IF('Jelenlét'!C14="Jövök :)",'Jelenlét'!$Z14,"")</f>
        <v/>
      </c>
      <c r="D14" s="5" t="str">
        <f>IF('Jelenlét'!D14="Jövök :)",'Jelenlét'!$Z14,"")</f>
        <v/>
      </c>
      <c r="E14" s="5" t="str">
        <f>IF('Jelenlét'!E14="Jövök :)",'Jelenlét'!$Z14,"")</f>
        <v/>
      </c>
      <c r="F14" s="5" t="str">
        <f>IF('Jelenlét'!F14="Jövök :)",'Jelenlét'!$Z14,"")</f>
        <v/>
      </c>
      <c r="G14" s="5">
        <f>IF('Jelenlét'!G14="Jövök :)",'Jelenlét'!$Z14,"")</f>
        <v>2265.454545</v>
      </c>
      <c r="H14" s="5">
        <f>IF('Jelenlét'!H14="Jövök :)",'Jelenlét'!$Z14,"")</f>
        <v>2265.454545</v>
      </c>
      <c r="I14" s="5">
        <f>IF('Jelenlét'!I14="Jövök :)",'Jelenlét'!$Z14,"")</f>
        <v>2265.454545</v>
      </c>
      <c r="J14" s="5" t="str">
        <f>IF('Jelenlét'!J14="Jövök :)",'Jelenlét'!$Z14,"")</f>
        <v/>
      </c>
      <c r="K14" s="5" t="str">
        <f>IF('Jelenlét'!K14="Jövök :)",'Jelenlét'!$Z14,"")</f>
        <v/>
      </c>
      <c r="L14" s="5" t="str">
        <f>IF('Jelenlét'!L14="Jövök :)",'Jelenlét'!$Z14,"")</f>
        <v/>
      </c>
      <c r="M14" s="5" t="str">
        <f>IF('Jelenlét'!M14="Jövök :)",'Jelenlét'!$Z14,"")</f>
        <v/>
      </c>
      <c r="N14" s="5" t="str">
        <f>IF('Jelenlét'!N14="Jövök :)",'Jelenlét'!$Z14,"")</f>
        <v/>
      </c>
      <c r="O14" s="5" t="str">
        <f>IF('Jelenlét'!O14="Jövök :)",'Jelenlét'!$Z14,"")</f>
        <v/>
      </c>
      <c r="P14" s="5" t="str">
        <f>IF('Jelenlét'!P14="Jövök :)",'Jelenlét'!$Z14,"")</f>
        <v/>
      </c>
      <c r="Q14" s="5">
        <f>IF('Jelenlét'!Q14="Jövök :)",'Jelenlét'!$Z14,"")</f>
        <v>2265.454545</v>
      </c>
      <c r="R14" s="5">
        <f>IF('Jelenlét'!R14="Jövök :)",'Jelenlét'!$Z14,"")</f>
        <v>2265.454545</v>
      </c>
      <c r="S14" s="5">
        <f>IF('Jelenlét'!S14="Jövök :)",'Jelenlét'!$Z14,"")</f>
        <v>2265.454545</v>
      </c>
      <c r="T14" s="5" t="str">
        <f>IF('Jelenlét'!T14="Jövök :)",'Jelenlét'!$Z14,"")</f>
        <v/>
      </c>
      <c r="U14" s="5" t="str">
        <f>IF('Jelenlét'!U14="Jövök :)",'Jelenlét'!$Z14,"")</f>
        <v/>
      </c>
      <c r="V14" s="5" t="str">
        <f>IF('Jelenlét'!AB14="Jövök :)",'Jelenlét'!AY14,"")</f>
        <v/>
      </c>
      <c r="W14" s="5">
        <f>'Jelenlét'!W14* 'Jelenlét'!Z14</f>
        <v>9061.818182</v>
      </c>
      <c r="X14" s="5"/>
      <c r="Y14" s="5"/>
    </row>
    <row r="15">
      <c r="A15" s="8">
        <v>45699.0</v>
      </c>
      <c r="B15" s="5">
        <f>IF('Jelenlét'!B15="Jövök :)",'Jelenlét'!$Z15,"")</f>
        <v>1780</v>
      </c>
      <c r="C15" s="5">
        <f>IF('Jelenlét'!C15="Jövök :)",'Jelenlét'!$Z15,"")</f>
        <v>1780</v>
      </c>
      <c r="D15" s="5">
        <f>IF('Jelenlét'!D15="Jövök :)",'Jelenlét'!$Z15,"")</f>
        <v>1780</v>
      </c>
      <c r="E15" s="5" t="str">
        <f>IF('Jelenlét'!E15="Jövök :)",'Jelenlét'!$Z15,"")</f>
        <v/>
      </c>
      <c r="F15" s="5">
        <f>IF('Jelenlét'!F15="Jövök :)",'Jelenlét'!$Z15,"")</f>
        <v>1780</v>
      </c>
      <c r="G15" s="5">
        <f>IF('Jelenlét'!G15="Jövök :)",'Jelenlét'!$Z15,"")</f>
        <v>1780</v>
      </c>
      <c r="H15" s="5">
        <f>IF('Jelenlét'!H15="Jövök :)",'Jelenlét'!$Z15,"")</f>
        <v>1780</v>
      </c>
      <c r="I15" s="5">
        <f>IF('Jelenlét'!I15="Jövök :)",'Jelenlét'!$Z15,"")</f>
        <v>1780</v>
      </c>
      <c r="J15" s="5">
        <f>IF('Jelenlét'!J15="Jövök :)",'Jelenlét'!$Z15,"")</f>
        <v>1780</v>
      </c>
      <c r="K15" s="5" t="str">
        <f>IF('Jelenlét'!K15="Jövök :)",'Jelenlét'!$Z15,"")</f>
        <v/>
      </c>
      <c r="L15" s="5" t="str">
        <f>IF('Jelenlét'!L15="Jövök :)",'Jelenlét'!$Z15,"")</f>
        <v/>
      </c>
      <c r="M15" s="5" t="str">
        <f>IF('Jelenlét'!M15="Jövök :)",'Jelenlét'!$Z15,"")</f>
        <v/>
      </c>
      <c r="N15" s="5" t="str">
        <f>IF('Jelenlét'!N15="Jövök :)",'Jelenlét'!$Z15,"")</f>
        <v/>
      </c>
      <c r="O15" s="5" t="str">
        <f>IF('Jelenlét'!O15="Jövök :)",'Jelenlét'!$Z15,"")</f>
        <v/>
      </c>
      <c r="P15" s="5" t="str">
        <f>IF('Jelenlét'!P15="Jövök :)",'Jelenlét'!$Z15,"")</f>
        <v/>
      </c>
      <c r="Q15" s="5">
        <f>IF('Jelenlét'!Q15="Jövök :)",'Jelenlét'!$Z15,"")</f>
        <v>1780</v>
      </c>
      <c r="R15" s="5">
        <f>IF('Jelenlét'!R15="Jövök :)",'Jelenlét'!$Z15,"")</f>
        <v>1780</v>
      </c>
      <c r="S15" s="5">
        <f>IF('Jelenlét'!S15="Jövök :)",'Jelenlét'!$Z15,"")</f>
        <v>1780</v>
      </c>
      <c r="T15" s="5">
        <f>IF('Jelenlét'!T15="Jövök :)",'Jelenlét'!$Z15,"")</f>
        <v>1780</v>
      </c>
      <c r="U15" s="5" t="str">
        <f>IF('Jelenlét'!U15="Jövök :)",'Jelenlét'!$Z15,"")</f>
        <v/>
      </c>
      <c r="V15" s="5" t="str">
        <f>IF('Jelenlét'!AB15="Jövök :)",'Jelenlét'!AY15,"")</f>
        <v/>
      </c>
      <c r="W15" s="5">
        <f>'Jelenlét'!W15* 'Jelenlét'!Z15</f>
        <v>3560</v>
      </c>
      <c r="X15" s="5"/>
      <c r="Y15" s="5"/>
    </row>
    <row r="16">
      <c r="A16" s="8">
        <v>45706.0</v>
      </c>
      <c r="B16" s="5" t="str">
        <f>IF('Jelenlét'!B16="Jövök :)",'Jelenlét'!$Z16,"")</f>
        <v/>
      </c>
      <c r="C16" s="5">
        <f>IF('Jelenlét'!C16="Jövök :)",'Jelenlét'!$Z16,"")</f>
        <v>2076.666667</v>
      </c>
      <c r="D16" s="5">
        <f>IF('Jelenlét'!D16="Jövök :)",'Jelenlét'!$Z16,"")</f>
        <v>2076.666667</v>
      </c>
      <c r="E16" s="5" t="str">
        <f>IF('Jelenlét'!E16="Jövök :)",'Jelenlét'!$Z16,"")</f>
        <v/>
      </c>
      <c r="F16" s="5">
        <f>IF('Jelenlét'!F16="Jövök :)",'Jelenlét'!$Z16,"")</f>
        <v>2076.666667</v>
      </c>
      <c r="G16" s="5">
        <f>IF('Jelenlét'!G16="Jövök :)",'Jelenlét'!$Z16,"")</f>
        <v>2076.666667</v>
      </c>
      <c r="H16" s="5">
        <f>IF('Jelenlét'!H16="Jövök :)",'Jelenlét'!$Z16,"")</f>
        <v>2076.666667</v>
      </c>
      <c r="I16" s="5">
        <f>IF('Jelenlét'!I16="Jövök :)",'Jelenlét'!$Z16,"")</f>
        <v>2076.666667</v>
      </c>
      <c r="J16" s="5">
        <f>IF('Jelenlét'!J16="Jövök :)",'Jelenlét'!$Z16,"")</f>
        <v>2076.666667</v>
      </c>
      <c r="K16" s="5" t="str">
        <f>IF('Jelenlét'!K16="Jövök :)",'Jelenlét'!$Z16,"")</f>
        <v/>
      </c>
      <c r="L16" s="5" t="str">
        <f>IF('Jelenlét'!L16="Jövök :)",'Jelenlét'!$Z16,"")</f>
        <v/>
      </c>
      <c r="M16" s="5" t="str">
        <f>IF('Jelenlét'!M16="Jövök :)",'Jelenlét'!$Z16,"")</f>
        <v/>
      </c>
      <c r="N16" s="5" t="str">
        <f>IF('Jelenlét'!N16="Jövök :)",'Jelenlét'!$Z16,"")</f>
        <v/>
      </c>
      <c r="O16" s="5" t="str">
        <f>IF('Jelenlét'!O16="Jövök :)",'Jelenlét'!$Z16,"")</f>
        <v/>
      </c>
      <c r="P16" s="5" t="str">
        <f>IF('Jelenlét'!P16="Jövök :)",'Jelenlét'!$Z16,"")</f>
        <v/>
      </c>
      <c r="Q16" s="5">
        <f>IF('Jelenlét'!Q16="Jövök :)",'Jelenlét'!$Z16,"")</f>
        <v>2076.666667</v>
      </c>
      <c r="R16" s="5">
        <f>IF('Jelenlét'!R16="Jövök :)",'Jelenlét'!$Z16,"")</f>
        <v>2076.666667</v>
      </c>
      <c r="S16" s="5">
        <f>IF('Jelenlét'!S16="Jövök :)",'Jelenlét'!$Z16,"")</f>
        <v>2076.666667</v>
      </c>
      <c r="T16" s="5" t="str">
        <f>IF('Jelenlét'!T16="Jövök :)",'Jelenlét'!$Z16,"")</f>
        <v/>
      </c>
      <c r="U16" s="5">
        <f>IF('Jelenlét'!U16="Jövök :)",'Jelenlét'!$Z16,"")</f>
        <v>2076.666667</v>
      </c>
      <c r="V16" s="5" t="str">
        <f>IF('Jelenlét'!AB16="Jövök :)",'Jelenlét'!AY16,"")</f>
        <v/>
      </c>
      <c r="W16" s="5">
        <f>'Jelenlét'!W16* 'Jelenlét'!Z16</f>
        <v>2076.666667</v>
      </c>
      <c r="X16" s="5"/>
      <c r="Y16" s="5"/>
    </row>
    <row r="17">
      <c r="A17" s="8">
        <v>45713.0</v>
      </c>
      <c r="B17" s="5" t="str">
        <f>IF('Jelenlét'!B17="Jövök :)",'Jelenlét'!$Z17,"")</f>
        <v/>
      </c>
      <c r="C17" s="5">
        <f>IF('Jelenlét'!C17="Jövök :)",'Jelenlét'!$Z17,"")</f>
        <v>2492</v>
      </c>
      <c r="D17" s="5">
        <f>IF('Jelenlét'!D17="Jövök :)",'Jelenlét'!$Z17,"")</f>
        <v>2492</v>
      </c>
      <c r="E17" s="5" t="str">
        <f>IF('Jelenlét'!E17="Jövök :)",'Jelenlét'!$Z17,"")</f>
        <v/>
      </c>
      <c r="F17" s="5">
        <f>IF('Jelenlét'!F17="Jövök :)",'Jelenlét'!$Z17,"")</f>
        <v>2492</v>
      </c>
      <c r="G17" s="5">
        <f>IF('Jelenlét'!G17="Jövök :)",'Jelenlét'!$Z17,"")</f>
        <v>2492</v>
      </c>
      <c r="H17" s="5">
        <f>IF('Jelenlét'!H17="Jövök :)",'Jelenlét'!$Z17,"")</f>
        <v>2492</v>
      </c>
      <c r="I17" s="5">
        <f>IF('Jelenlét'!I17="Jövök :)",'Jelenlét'!$Z17,"")</f>
        <v>2492</v>
      </c>
      <c r="J17" s="5">
        <f>IF('Jelenlét'!J17="Jövök :)",'Jelenlét'!$Z17,"")</f>
        <v>2492</v>
      </c>
      <c r="K17" s="5" t="str">
        <f>IF('Jelenlét'!K17="Jövök :)",'Jelenlét'!$Z17,"")</f>
        <v/>
      </c>
      <c r="L17" s="5" t="str">
        <f>IF('Jelenlét'!L17="Jövök :)",'Jelenlét'!$Z17,"")</f>
        <v/>
      </c>
      <c r="M17" s="5" t="str">
        <f>IF('Jelenlét'!M17="Jövök :)",'Jelenlét'!$Z17,"")</f>
        <v/>
      </c>
      <c r="N17" s="5" t="str">
        <f>IF('Jelenlét'!N17="Jövök :)",'Jelenlét'!$Z17,"")</f>
        <v/>
      </c>
      <c r="O17" s="5" t="str">
        <f>IF('Jelenlét'!O17="Jövök :)",'Jelenlét'!$Z17,"")</f>
        <v/>
      </c>
      <c r="P17" s="5" t="str">
        <f>IF('Jelenlét'!P17="Jövök :)",'Jelenlét'!$Z17,"")</f>
        <v/>
      </c>
      <c r="Q17" s="5" t="str">
        <f>IF('Jelenlét'!Q17="Jövök :)",'Jelenlét'!$Z17,"")</f>
        <v/>
      </c>
      <c r="R17" s="5">
        <f>IF('Jelenlét'!R17="Jövök :)",'Jelenlét'!$Z17,"")</f>
        <v>2492</v>
      </c>
      <c r="S17" s="5" t="str">
        <f>IF('Jelenlét'!S17="Jövök :)",'Jelenlét'!$Z17,"")</f>
        <v/>
      </c>
      <c r="T17" s="5">
        <f>IF('Jelenlét'!T17="Jövök :)",'Jelenlét'!$Z17,"")</f>
        <v>2492</v>
      </c>
      <c r="U17" s="5">
        <f>IF('Jelenlét'!U17="Jövök :)",'Jelenlét'!$Z17,"")</f>
        <v>2492</v>
      </c>
      <c r="V17" s="5" t="str">
        <f>IF('Jelenlét'!AB17="Jövök :)",'Jelenlét'!AY17,"")</f>
        <v/>
      </c>
      <c r="W17" s="5">
        <f>'Jelenlét'!W17* 'Jelenlét'!Z17</f>
        <v>0</v>
      </c>
      <c r="X17" s="5"/>
      <c r="Y17" s="5"/>
    </row>
    <row r="18">
      <c r="A18" s="8">
        <v>45720.0</v>
      </c>
      <c r="B18" s="5">
        <f>IF('Jelenlét'!B18&gt;=1,'Jelenlét'!B18*'Jelenlét'!$Z18,"")</f>
        <v>1968.75</v>
      </c>
      <c r="C18" s="5" t="str">
        <f>IF('Jelenlét'!C18&gt;=1,'Jelenlét'!C18*'Jelenlét'!$Z18,"")</f>
        <v/>
      </c>
      <c r="D18" s="5" t="str">
        <f>IF('Jelenlét'!D18&gt;=1,'Jelenlét'!D18*'Jelenlét'!$Z18,"")</f>
        <v/>
      </c>
      <c r="E18" s="5" t="str">
        <f>IF('Jelenlét'!E18&gt;=1,'Jelenlét'!E18*'Jelenlét'!$Z18,"")</f>
        <v/>
      </c>
      <c r="F18" s="5">
        <f>IF('Jelenlét'!F18&gt;=1,'Jelenlét'!F18*'Jelenlét'!$Z18,"")</f>
        <v>1968.75</v>
      </c>
      <c r="G18" s="5">
        <f>IF('Jelenlét'!G18&gt;=1,'Jelenlét'!G18*'Jelenlét'!$Z18,"")</f>
        <v>3937.5</v>
      </c>
      <c r="H18" s="5">
        <f>IF('Jelenlét'!H18&gt;=1,'Jelenlét'!H18*'Jelenlét'!$Z18,"")</f>
        <v>1968.75</v>
      </c>
      <c r="I18" s="5">
        <f>IF('Jelenlét'!I18&gt;=1,'Jelenlét'!I18*'Jelenlét'!$Z18,"")</f>
        <v>1968.75</v>
      </c>
      <c r="J18" s="5">
        <f>IF('Jelenlét'!J18&gt;=1,'Jelenlét'!J18*'Jelenlét'!$Z18,"")</f>
        <v>1968.75</v>
      </c>
      <c r="K18" s="5" t="str">
        <f>IF('Jelenlét'!K18&gt;=1,'Jelenlét'!K18*'Jelenlét'!$Z18,"")</f>
        <v/>
      </c>
      <c r="L18" s="5" t="str">
        <f>IF('Jelenlét'!L18&gt;=1,'Jelenlét'!L18*'Jelenlét'!$Z18,"")</f>
        <v/>
      </c>
      <c r="M18" s="5" t="str">
        <f>IF('Jelenlét'!M18&gt;=1,'Jelenlét'!M18*'Jelenlét'!$Z18,"")</f>
        <v/>
      </c>
      <c r="N18" s="5" t="str">
        <f>IF('Jelenlét'!N18&gt;=1,'Jelenlét'!N18*'Jelenlét'!$Z18,"")</f>
        <v/>
      </c>
      <c r="O18" s="5" t="str">
        <f>IF('Jelenlét'!O18&gt;=1,'Jelenlét'!O18*'Jelenlét'!$Z18,"")</f>
        <v/>
      </c>
      <c r="P18" s="5" t="str">
        <f>IF('Jelenlét'!P18&gt;=1,'Jelenlét'!P18*'Jelenlét'!$Z18,"")</f>
        <v/>
      </c>
      <c r="Q18" s="5">
        <f>IF('Jelenlét'!Q18&gt;=1,'Jelenlét'!Q18*'Jelenlét'!$Z18,"")</f>
        <v>1968.75</v>
      </c>
      <c r="R18" s="5">
        <f>IF('Jelenlét'!R18&gt;=1,'Jelenlét'!R18*'Jelenlét'!$Z18,"")</f>
        <v>3937.5</v>
      </c>
      <c r="S18" s="5">
        <f>IF('Jelenlét'!S18&gt;=1,'Jelenlét'!S18*'Jelenlét'!$Z18,"")</f>
        <v>1968.75</v>
      </c>
      <c r="T18" s="5" t="str">
        <f>IF('Jelenlét'!T18&gt;=1,'Jelenlét'!T18*'Jelenlét'!$Z18,"")</f>
        <v/>
      </c>
      <c r="U18" s="5">
        <f>IF('Jelenlét'!U18&gt;=1,'Jelenlét'!U18*'Jelenlét'!$Z18,"")</f>
        <v>1968.75</v>
      </c>
      <c r="V18" s="5" t="str">
        <f>IF('Jelenlét'!AB18="Jövök :)",'Jelenlét'!AY18,"")</f>
        <v/>
      </c>
      <c r="W18" s="5" t="str">
        <f>'Jelenlét'!W18* 'Jelenlét'!Z18</f>
        <v>#VALUE!</v>
      </c>
      <c r="X18" s="5"/>
      <c r="Y18" s="5"/>
    </row>
    <row r="19">
      <c r="A19" s="8">
        <v>45727.0</v>
      </c>
      <c r="B19" s="5" t="str">
        <f>IF('Jelenlét'!B19&gt;=1,'Jelenlét'!B19*'Jelenlét'!$Z19,"")</f>
        <v/>
      </c>
      <c r="C19" s="5" t="str">
        <f>IF('Jelenlét'!C19&gt;=1,'Jelenlét'!C19*'Jelenlét'!$Z19,"")</f>
        <v/>
      </c>
      <c r="D19" s="5">
        <f>IF('Jelenlét'!D19&gt;=1,'Jelenlét'!D19*'Jelenlét'!$Z19,"")</f>
        <v>2625</v>
      </c>
      <c r="E19" s="5" t="str">
        <f>IF('Jelenlét'!E19&gt;=1,'Jelenlét'!E19*'Jelenlét'!$Z19,"")</f>
        <v/>
      </c>
      <c r="F19" s="5">
        <f>IF('Jelenlét'!F19&gt;=1,'Jelenlét'!F19*'Jelenlét'!$Z19,"")</f>
        <v>2625</v>
      </c>
      <c r="G19" s="5">
        <f>IF('Jelenlét'!G19&gt;=1,'Jelenlét'!G19*'Jelenlét'!$Z19,"")</f>
        <v>2625</v>
      </c>
      <c r="H19" s="5">
        <f>IF('Jelenlét'!H19&gt;=1,'Jelenlét'!H19*'Jelenlét'!$Z19,"")</f>
        <v>2625</v>
      </c>
      <c r="I19" s="5">
        <f>IF('Jelenlét'!I19&gt;=1,'Jelenlét'!I19*'Jelenlét'!$Z19,"")</f>
        <v>2625</v>
      </c>
      <c r="J19" s="5">
        <f>IF('Jelenlét'!J19&gt;=1,'Jelenlét'!J19*'Jelenlét'!$Z19,"")</f>
        <v>2625</v>
      </c>
      <c r="K19" s="5" t="str">
        <f>IF('Jelenlét'!K19&gt;=1,'Jelenlét'!K19*'Jelenlét'!$Z19,"")</f>
        <v/>
      </c>
      <c r="L19" s="5" t="str">
        <f>IF('Jelenlét'!L19&gt;=1,'Jelenlét'!L19*'Jelenlét'!$Z19,"")</f>
        <v/>
      </c>
      <c r="M19" s="5" t="str">
        <f>IF('Jelenlét'!M19&gt;=1,'Jelenlét'!M19*'Jelenlét'!$Z19,"")</f>
        <v/>
      </c>
      <c r="N19" s="5" t="str">
        <f>IF('Jelenlét'!N19&gt;=1,'Jelenlét'!N19*'Jelenlét'!$Z19,"")</f>
        <v/>
      </c>
      <c r="O19" s="5" t="str">
        <f>IF('Jelenlét'!O19&gt;=1,'Jelenlét'!O19*'Jelenlét'!$Z19,"")</f>
        <v/>
      </c>
      <c r="P19" s="5" t="str">
        <f>IF('Jelenlét'!P19&gt;=1,'Jelenlét'!P19*'Jelenlét'!$Z19,"")</f>
        <v/>
      </c>
      <c r="Q19" s="5">
        <f>IF('Jelenlét'!Q19&gt;=1,'Jelenlét'!Q19*'Jelenlét'!$Z19,"")</f>
        <v>2625</v>
      </c>
      <c r="R19" s="5" t="str">
        <f>IF('Jelenlét'!R19&gt;=1,'Jelenlét'!R19*'Jelenlét'!$Z19,"")</f>
        <v/>
      </c>
      <c r="S19" s="5">
        <f>IF('Jelenlét'!S19&gt;=1,'Jelenlét'!S19*'Jelenlét'!$Z19,"")</f>
        <v>2625</v>
      </c>
      <c r="T19" s="5" t="str">
        <f>IF('Jelenlét'!T19&gt;=1,'Jelenlét'!T19*'Jelenlét'!$Z19,"")</f>
        <v/>
      </c>
      <c r="U19" s="5">
        <f>IF('Jelenlét'!U19&gt;=1,'Jelenlét'!U19*'Jelenlét'!$Z19,"")</f>
        <v>2625</v>
      </c>
      <c r="V19" s="5" t="str">
        <f>IF('Jelenlét'!AB19="Jövök :)",'Jelenlét'!AY19,"")</f>
        <v/>
      </c>
      <c r="W19" s="5">
        <f>'Jelenlét'!W19* 'Jelenlét'!Z19</f>
        <v>0</v>
      </c>
      <c r="X19" s="5"/>
      <c r="Y19" s="5"/>
    </row>
    <row r="20">
      <c r="A20" s="8">
        <v>45734.0</v>
      </c>
      <c r="B20" s="5" t="str">
        <f>IF('Jelenlét'!B20&gt;=1,'Jelenlét'!B20*'Jelenlét'!$Z20,"")</f>
        <v/>
      </c>
      <c r="C20" s="5">
        <f>IF('Jelenlét'!C20&gt;=1,'Jelenlét'!C20*'Jelenlét'!$Z20,"")</f>
        <v>1817.307692</v>
      </c>
      <c r="D20" s="5">
        <f>IF('Jelenlét'!D20&gt;=1,'Jelenlét'!D20*'Jelenlét'!$Z20,"")</f>
        <v>1817.307692</v>
      </c>
      <c r="E20" s="5">
        <f>IF('Jelenlét'!E20&gt;=1,'Jelenlét'!E20*'Jelenlét'!$Z20,"")</f>
        <v>1817.307692</v>
      </c>
      <c r="F20" s="5">
        <f>IF('Jelenlét'!F20&gt;=1,'Jelenlét'!F20*'Jelenlét'!$Z20,"")</f>
        <v>1817.307692</v>
      </c>
      <c r="G20" s="5">
        <f>IF('Jelenlét'!G20&gt;=1,'Jelenlét'!G20*'Jelenlét'!$Z20,"")</f>
        <v>3634.615385</v>
      </c>
      <c r="H20" s="5">
        <f>IF('Jelenlét'!H20&gt;=1,'Jelenlét'!H20*'Jelenlét'!$Z20,"")</f>
        <v>1817.307692</v>
      </c>
      <c r="I20" s="5">
        <f>IF('Jelenlét'!I20&gt;=1,'Jelenlét'!I20*'Jelenlét'!$Z20,"")</f>
        <v>1817.307692</v>
      </c>
      <c r="J20" s="5">
        <f>IF('Jelenlét'!J20&gt;=1,'Jelenlét'!J20*'Jelenlét'!$Z20,"")</f>
        <v>1817.307692</v>
      </c>
      <c r="K20" s="5" t="str">
        <f>IF('Jelenlét'!K20&gt;=1,'Jelenlét'!K20*'Jelenlét'!$Z20,"")</f>
        <v/>
      </c>
      <c r="L20" s="5" t="str">
        <f>IF('Jelenlét'!L20&gt;=1,'Jelenlét'!L20*'Jelenlét'!$Z20,"")</f>
        <v/>
      </c>
      <c r="M20" s="5" t="str">
        <f>IF('Jelenlét'!M20&gt;=1,'Jelenlét'!M20*'Jelenlét'!$Z20,"")</f>
        <v/>
      </c>
      <c r="N20" s="5" t="str">
        <f>IF('Jelenlét'!N20&gt;=1,'Jelenlét'!N20*'Jelenlét'!$Z20,"")</f>
        <v/>
      </c>
      <c r="O20" s="5" t="str">
        <f>IF('Jelenlét'!O20&gt;=1,'Jelenlét'!O20*'Jelenlét'!$Z20,"")</f>
        <v/>
      </c>
      <c r="P20" s="5" t="str">
        <f>IF('Jelenlét'!P20&gt;=1,'Jelenlét'!P20*'Jelenlét'!$Z20,"")</f>
        <v/>
      </c>
      <c r="Q20" s="5">
        <f>IF('Jelenlét'!Q20&gt;=1,'Jelenlét'!Q20*'Jelenlét'!$Z20,"")</f>
        <v>1817.307692</v>
      </c>
      <c r="R20" s="5">
        <f>IF('Jelenlét'!R20&gt;=1,'Jelenlét'!R20*'Jelenlét'!$Z20,"")</f>
        <v>1817.307692</v>
      </c>
      <c r="S20" s="5">
        <f>IF('Jelenlét'!S20&gt;=1,'Jelenlét'!S20*'Jelenlét'!$Z20,"")</f>
        <v>1817.307692</v>
      </c>
      <c r="T20" s="5" t="str">
        <f>IF('Jelenlét'!T20&gt;=1,'Jelenlét'!T20*'Jelenlét'!$Z20,"")</f>
        <v/>
      </c>
      <c r="U20" s="5">
        <f>IF('Jelenlét'!U20&gt;=1,'Jelenlét'!U20*'Jelenlét'!$Z20,"")</f>
        <v>1817.307692</v>
      </c>
      <c r="V20" s="5" t="str">
        <f>IF('Jelenlét'!AB20="Jövök :)",'Jelenlét'!AY20,"")</f>
        <v/>
      </c>
      <c r="W20" s="5">
        <f>'Jelenlét'!W20* 'Jelenlét'!Z20</f>
        <v>0</v>
      </c>
      <c r="X20" s="5"/>
      <c r="Y20" s="5"/>
    </row>
    <row r="21">
      <c r="A21" s="8">
        <v>45741.0</v>
      </c>
      <c r="B21" s="5" t="str">
        <f>IF('Jelenlét'!B21&gt;=1,'Jelenlét'!B21*'Jelenlét'!$Z21,"")</f>
        <v/>
      </c>
      <c r="C21" s="5">
        <f>IF('Jelenlét'!C21&gt;=1,'Jelenlét'!C21*'Jelenlét'!$Z21,"")</f>
        <v>1817.307692</v>
      </c>
      <c r="D21" s="5">
        <f>IF('Jelenlét'!D21&gt;=1,'Jelenlét'!D21*'Jelenlét'!$Z21,"")</f>
        <v>1817.307692</v>
      </c>
      <c r="E21" s="5" t="str">
        <f>IF('Jelenlét'!E21&gt;=1,'Jelenlét'!E21*'Jelenlét'!$Z21,"")</f>
        <v/>
      </c>
      <c r="F21" s="5">
        <f>IF('Jelenlét'!F21&gt;=1,'Jelenlét'!F21*'Jelenlét'!$Z21,"")</f>
        <v>1817.307692</v>
      </c>
      <c r="G21" s="5">
        <f>IF('Jelenlét'!G21&gt;=1,'Jelenlét'!G21*'Jelenlét'!$Z21,"")</f>
        <v>1817.307692</v>
      </c>
      <c r="H21" s="5">
        <f>IF('Jelenlét'!H21&gt;=1,'Jelenlét'!H21*'Jelenlét'!$Z21,"")</f>
        <v>1817.307692</v>
      </c>
      <c r="I21" s="5">
        <f>IF('Jelenlét'!I21&gt;=1,'Jelenlét'!I21*'Jelenlét'!$Z21,"")</f>
        <v>1817.307692</v>
      </c>
      <c r="J21" s="5">
        <f>IF('Jelenlét'!J21&gt;=1,'Jelenlét'!J21*'Jelenlét'!$Z21,"")</f>
        <v>1817.307692</v>
      </c>
      <c r="K21" s="5" t="str">
        <f>IF('Jelenlét'!K21&gt;=1,'Jelenlét'!K21*'Jelenlét'!$Z21,"")</f>
        <v/>
      </c>
      <c r="L21" s="5" t="str">
        <f>IF('Jelenlét'!L21&gt;=1,'Jelenlét'!L21*'Jelenlét'!$Z21,"")</f>
        <v/>
      </c>
      <c r="M21" s="5" t="str">
        <f>IF('Jelenlét'!M21&gt;=1,'Jelenlét'!M21*'Jelenlét'!$Z21,"")</f>
        <v/>
      </c>
      <c r="N21" s="5" t="str">
        <f>IF('Jelenlét'!N21&gt;=1,'Jelenlét'!N21*'Jelenlét'!$Z21,"")</f>
        <v/>
      </c>
      <c r="O21" s="5" t="str">
        <f>IF('Jelenlét'!O21&gt;=1,'Jelenlét'!O21*'Jelenlét'!$Z21,"")</f>
        <v/>
      </c>
      <c r="P21" s="5" t="str">
        <f>IF('Jelenlét'!P21&gt;=1,'Jelenlét'!P21*'Jelenlét'!$Z21,"")</f>
        <v/>
      </c>
      <c r="Q21" s="5">
        <f>IF('Jelenlét'!Q21&gt;=1,'Jelenlét'!Q21*'Jelenlét'!$Z21,"")</f>
        <v>1817.307692</v>
      </c>
      <c r="R21" s="5">
        <f>IF('Jelenlét'!R21&gt;=1,'Jelenlét'!R21*'Jelenlét'!$Z21,"")</f>
        <v>3634.615385</v>
      </c>
      <c r="S21" s="5">
        <f>IF('Jelenlét'!S21&gt;=1,'Jelenlét'!S21*'Jelenlét'!$Z21,"")</f>
        <v>1817.307692</v>
      </c>
      <c r="T21" s="5">
        <f>IF('Jelenlét'!T21&gt;=1,'Jelenlét'!T21*'Jelenlét'!$Z21,"")</f>
        <v>1817.307692</v>
      </c>
      <c r="U21" s="5">
        <f>IF('Jelenlét'!U21&gt;=1,'Jelenlét'!U21*'Jelenlét'!$Z21,"")</f>
        <v>1817.307692</v>
      </c>
      <c r="V21" s="5" t="str">
        <f>IF('Jelenlét'!AB21="Jövök :)",'Jelenlét'!AY21,"")</f>
        <v/>
      </c>
      <c r="W21" s="5">
        <f>'Jelenlét'!W21* 'Jelenlét'!Z21</f>
        <v>0</v>
      </c>
      <c r="X21" s="5"/>
      <c r="Y21" s="5"/>
    </row>
    <row r="22">
      <c r="A22" s="8">
        <v>45748.0</v>
      </c>
      <c r="B22" s="5" t="str">
        <f>IF('Jelenlét'!B22&gt;=1,'Jelenlét'!B22*'Jelenlét'!$Z22,"")</f>
        <v/>
      </c>
      <c r="C22" s="5">
        <f>IF('Jelenlét'!C22&gt;=1,'Jelenlét'!C22*'Jelenlét'!$Z22,"")</f>
        <v>2245.6</v>
      </c>
      <c r="D22" s="5" t="str">
        <f>IF('Jelenlét'!D22&gt;=1,'Jelenlét'!D22*'Jelenlét'!$Z22,"")</f>
        <v/>
      </c>
      <c r="E22" s="5" t="str">
        <f>IF('Jelenlét'!E22&gt;=1,'Jelenlét'!E22*'Jelenlét'!$Z22,"")</f>
        <v/>
      </c>
      <c r="F22" s="5">
        <f>IF('Jelenlét'!F22&gt;=1,'Jelenlét'!F22*'Jelenlét'!$Z22,"")</f>
        <v>2245.6</v>
      </c>
      <c r="G22" s="5">
        <f>IF('Jelenlét'!G22&gt;=1,'Jelenlét'!G22*'Jelenlét'!$Z22,"")</f>
        <v>6736.8</v>
      </c>
      <c r="H22" s="5">
        <f>IF('Jelenlét'!H22&gt;=1,'Jelenlét'!H22*'Jelenlét'!$Z22,"")</f>
        <v>2245.6</v>
      </c>
      <c r="I22" s="5">
        <f>IF('Jelenlét'!I22&gt;=1,'Jelenlét'!I22*'Jelenlét'!$Z22,"")</f>
        <v>2245.6</v>
      </c>
      <c r="J22" s="5" t="str">
        <f>IF('Jelenlét'!J22&gt;=1,'Jelenlét'!J22*'Jelenlét'!$Z22,"")</f>
        <v/>
      </c>
      <c r="K22" s="5" t="str">
        <f>IF('Jelenlét'!K22&gt;=1,'Jelenlét'!K22*'Jelenlét'!$Z22,"")</f>
        <v/>
      </c>
      <c r="L22" s="5" t="str">
        <f>IF('Jelenlét'!L22&gt;=1,'Jelenlét'!L22*'Jelenlét'!$Z22,"")</f>
        <v/>
      </c>
      <c r="M22" s="5" t="str">
        <f>IF('Jelenlét'!M22&gt;=1,'Jelenlét'!M22*'Jelenlét'!$Z22,"")</f>
        <v/>
      </c>
      <c r="N22" s="5" t="str">
        <f>IF('Jelenlét'!N22&gt;=1,'Jelenlét'!N22*'Jelenlét'!$Z22,"")</f>
        <v/>
      </c>
      <c r="O22" s="5" t="str">
        <f>IF('Jelenlét'!O22&gt;=1,'Jelenlét'!O22*'Jelenlét'!$Z22,"")</f>
        <v/>
      </c>
      <c r="P22" s="5" t="str">
        <f>IF('Jelenlét'!P22&gt;=1,'Jelenlét'!P22*'Jelenlét'!$Z22,"")</f>
        <v/>
      </c>
      <c r="Q22" s="5">
        <f>IF('Jelenlét'!Q22&gt;=1,'Jelenlét'!Q22*'Jelenlét'!$Z22,"")</f>
        <v>2245.6</v>
      </c>
      <c r="R22" s="5" t="str">
        <f>IF('Jelenlét'!R22&gt;=1,'Jelenlét'!R22*'Jelenlét'!$Z22,"")</f>
        <v/>
      </c>
      <c r="S22" s="5">
        <f>IF('Jelenlét'!S22&gt;=1,'Jelenlét'!S22*'Jelenlét'!$Z22,"")</f>
        <v>2245.6</v>
      </c>
      <c r="T22" s="5" t="str">
        <f>IF('Jelenlét'!T22&gt;=1,'Jelenlét'!T22*'Jelenlét'!$Z22,"")</f>
        <v/>
      </c>
      <c r="U22" s="5">
        <f>IF('Jelenlét'!U22&gt;=1,'Jelenlét'!U22*'Jelenlét'!$Z22,"")</f>
        <v>2245.6</v>
      </c>
      <c r="V22" s="5" t="str">
        <f>IF('Jelenlét'!AB22="Jövök :)",'Jelenlét'!AY22,"")</f>
        <v/>
      </c>
      <c r="W22" s="5"/>
      <c r="X22" s="5"/>
      <c r="Y22" s="5"/>
    </row>
    <row r="23">
      <c r="A23" s="8">
        <v>45755.0</v>
      </c>
      <c r="B23" s="5" t="str">
        <f>IF('Jelenlét'!B23&gt;=1,'Jelenlét'!B23*'Jelenlét'!$Z23,"")</f>
        <v/>
      </c>
      <c r="C23" s="5" t="str">
        <f>IF('Jelenlét'!C23&gt;=1,'Jelenlét'!C23*'Jelenlét'!$Z23,"")</f>
        <v/>
      </c>
      <c r="D23" s="5">
        <f>IF('Jelenlét'!D23&gt;=1,'Jelenlét'!D23*'Jelenlét'!$Z23,"")</f>
        <v>2041.454545</v>
      </c>
      <c r="E23" s="5" t="str">
        <f>IF('Jelenlét'!E23&gt;=1,'Jelenlét'!E23*'Jelenlét'!$Z23,"")</f>
        <v/>
      </c>
      <c r="F23" s="5" t="str">
        <f>IF('Jelenlét'!F23&gt;=1,'Jelenlét'!F23*'Jelenlét'!$Z23,"")</f>
        <v/>
      </c>
      <c r="G23" s="5">
        <f>IF('Jelenlét'!G23&gt;=1,'Jelenlét'!G23*'Jelenlét'!$Z23,"")</f>
        <v>4082.909091</v>
      </c>
      <c r="H23" s="5">
        <f>IF('Jelenlét'!H23&gt;=1,'Jelenlét'!H23*'Jelenlét'!$Z23,"")</f>
        <v>2041.454545</v>
      </c>
      <c r="I23" s="5">
        <f>IF('Jelenlét'!I23&gt;=1,'Jelenlét'!I23*'Jelenlét'!$Z23,"")</f>
        <v>2041.454545</v>
      </c>
      <c r="J23" s="5">
        <f>IF('Jelenlét'!J23&gt;=1,'Jelenlét'!J23*'Jelenlét'!$Z23,"")</f>
        <v>2041.454545</v>
      </c>
      <c r="K23" s="5" t="str">
        <f>IF('Jelenlét'!K23&gt;=1,'Jelenlét'!K23*'Jelenlét'!$Z23,"")</f>
        <v/>
      </c>
      <c r="L23" s="5" t="str">
        <f>IF('Jelenlét'!L23&gt;=1,'Jelenlét'!L23*'Jelenlét'!$Z23,"")</f>
        <v/>
      </c>
      <c r="M23" s="5" t="str">
        <f>IF('Jelenlét'!M23&gt;=1,'Jelenlét'!M23*'Jelenlét'!$Z23,"")</f>
        <v/>
      </c>
      <c r="N23" s="5" t="str">
        <f>IF('Jelenlét'!N23&gt;=1,'Jelenlét'!N23*'Jelenlét'!$Z23,"")</f>
        <v/>
      </c>
      <c r="O23" s="5" t="str">
        <f>IF('Jelenlét'!O23&gt;=1,'Jelenlét'!O23*'Jelenlét'!$Z23,"")</f>
        <v/>
      </c>
      <c r="P23" s="5" t="str">
        <f>IF('Jelenlét'!P23&gt;=1,'Jelenlét'!P23*'Jelenlét'!$Z23,"")</f>
        <v/>
      </c>
      <c r="Q23" s="5" t="str">
        <f>IF('Jelenlét'!Q23&gt;=1,'Jelenlét'!Q23*'Jelenlét'!$Z23,"")</f>
        <v/>
      </c>
      <c r="R23" s="5">
        <f>IF('Jelenlét'!R23&gt;=1,'Jelenlét'!R23*'Jelenlét'!$Z23,"")</f>
        <v>6124.363636</v>
      </c>
      <c r="S23" s="5" t="str">
        <f>IF('Jelenlét'!S23&gt;=1,'Jelenlét'!S23*'Jelenlét'!$Z23,"")</f>
        <v/>
      </c>
      <c r="T23" s="5">
        <f>IF('Jelenlét'!T23&gt;=1,'Jelenlét'!T23*'Jelenlét'!$Z23,"")</f>
        <v>2041.454545</v>
      </c>
      <c r="U23" s="5">
        <f>IF('Jelenlét'!U23&gt;=1,'Jelenlét'!U23*'Jelenlét'!$Z23,"")</f>
        <v>2041.454545</v>
      </c>
      <c r="V23" s="5" t="str">
        <f>IF('Jelenlét'!AB23="Jövök :)",'Jelenlét'!AY23,"")</f>
        <v/>
      </c>
      <c r="W23" s="5"/>
      <c r="X23" s="5"/>
      <c r="Y23" s="5"/>
    </row>
    <row r="24">
      <c r="A24" s="8">
        <v>45762.0</v>
      </c>
      <c r="B24" s="5" t="str">
        <f>IF('Jelenlét'!B24&gt;=1,'Jelenlét'!B24*'Jelenlét'!$Z24,"")</f>
        <v/>
      </c>
      <c r="C24" s="5" t="str">
        <f>IF('Jelenlét'!C24&gt;=1,'Jelenlét'!C24*'Jelenlét'!$Z24,"")</f>
        <v/>
      </c>
      <c r="D24" s="5">
        <f>IF('Jelenlét'!D24&gt;=1,'Jelenlét'!D24*'Jelenlét'!$Z24,"")</f>
        <v>1871.333333</v>
      </c>
      <c r="E24" s="5">
        <f>IF('Jelenlét'!E24&gt;=1,'Jelenlét'!E24*'Jelenlét'!$Z24,"")</f>
        <v>3742.666667</v>
      </c>
      <c r="F24" s="5">
        <f>IF('Jelenlét'!F24&gt;=1,'Jelenlét'!F24*'Jelenlét'!$Z24,"")</f>
        <v>1871.333333</v>
      </c>
      <c r="G24" s="5">
        <f>IF('Jelenlét'!G24&gt;=1,'Jelenlét'!G24*'Jelenlét'!$Z24,"")</f>
        <v>1871.333333</v>
      </c>
      <c r="H24" s="5">
        <f>IF('Jelenlét'!H24&gt;=1,'Jelenlét'!H24*'Jelenlét'!$Z24,"")</f>
        <v>1871.333333</v>
      </c>
      <c r="I24" s="5">
        <f>IF('Jelenlét'!I24&gt;=1,'Jelenlét'!I24*'Jelenlét'!$Z24,"")</f>
        <v>1871.333333</v>
      </c>
      <c r="J24" s="5">
        <f>IF('Jelenlét'!J24&gt;=1,'Jelenlét'!J24*'Jelenlét'!$Z24,"")</f>
        <v>1871.333333</v>
      </c>
      <c r="K24" s="5" t="str">
        <f>IF('Jelenlét'!K24&gt;=1,'Jelenlét'!K24*'Jelenlét'!$Z24,"")</f>
        <v/>
      </c>
      <c r="L24" s="5" t="str">
        <f>IF('Jelenlét'!L24&gt;=1,'Jelenlét'!L24*'Jelenlét'!$Z24,"")</f>
        <v/>
      </c>
      <c r="M24" s="5" t="str">
        <f>IF('Jelenlét'!M24&gt;=1,'Jelenlét'!M24*'Jelenlét'!$Z24,"")</f>
        <v/>
      </c>
      <c r="N24" s="5" t="str">
        <f>IF('Jelenlét'!N24&gt;=1,'Jelenlét'!N24*'Jelenlét'!$Z24,"")</f>
        <v/>
      </c>
      <c r="O24" s="5" t="str">
        <f>IF('Jelenlét'!O24&gt;=1,'Jelenlét'!O24*'Jelenlét'!$Z24,"")</f>
        <v/>
      </c>
      <c r="P24" s="5" t="str">
        <f>IF('Jelenlét'!P24&gt;=1,'Jelenlét'!P24*'Jelenlét'!$Z24,"")</f>
        <v/>
      </c>
      <c r="Q24" s="5">
        <f>IF('Jelenlét'!Q24&gt;=1,'Jelenlét'!Q24*'Jelenlét'!$Z24,"")</f>
        <v>1871.333333</v>
      </c>
      <c r="R24" s="5">
        <f>IF('Jelenlét'!R24&gt;=1,'Jelenlét'!R24*'Jelenlét'!$Z24,"")</f>
        <v>3742.666667</v>
      </c>
      <c r="S24" s="5" t="str">
        <f>IF('Jelenlét'!S24&gt;=1,'Jelenlét'!S24*'Jelenlét'!$Z24,"")</f>
        <v/>
      </c>
      <c r="T24" s="5" t="str">
        <f>IF('Jelenlét'!T24&gt;=1,'Jelenlét'!T24*'Jelenlét'!$Z24,"")</f>
        <v/>
      </c>
      <c r="U24" s="5">
        <f>IF('Jelenlét'!U24&gt;=1,'Jelenlét'!U24*'Jelenlét'!$Z24,"")</f>
        <v>1871.333333</v>
      </c>
      <c r="V24" s="5" t="str">
        <f>IF('Jelenlét'!AB24="Jövök :)",'Jelenlét'!AY24,"")</f>
        <v/>
      </c>
      <c r="W24" s="5"/>
      <c r="X24" s="5"/>
      <c r="Y24" s="5"/>
    </row>
    <row r="25">
      <c r="A25" s="8">
        <v>45769.0</v>
      </c>
      <c r="B25" s="5" t="str">
        <f>IF('Jelenlét'!B25&gt;=1,'Jelenlét'!B25*'Jelenlét'!$Z25,"")</f>
        <v/>
      </c>
      <c r="C25" s="5">
        <f>IF('Jelenlét'!C25&gt;=1,'Jelenlét'!C25*'Jelenlét'!$Z25,"")</f>
        <v>2245.6</v>
      </c>
      <c r="D25" s="5" t="str">
        <f>IF('Jelenlét'!D25&gt;=1,'Jelenlét'!D25*'Jelenlét'!$Z25,"")</f>
        <v/>
      </c>
      <c r="E25" s="5" t="str">
        <f>IF('Jelenlét'!E25&gt;=1,'Jelenlét'!E25*'Jelenlét'!$Z25,"")</f>
        <v/>
      </c>
      <c r="F25" s="5" t="str">
        <f>IF('Jelenlét'!F25&gt;=1,'Jelenlét'!F25*'Jelenlét'!$Z25,"")</f>
        <v/>
      </c>
      <c r="G25" s="5" t="str">
        <f>IF('Jelenlét'!G25&gt;=1,'Jelenlét'!G25*'Jelenlét'!$Z25,"")</f>
        <v/>
      </c>
      <c r="H25" s="5">
        <f>IF('Jelenlét'!H25&gt;=1,'Jelenlét'!H25*'Jelenlét'!$Z25,"")</f>
        <v>2245.6</v>
      </c>
      <c r="I25" s="5">
        <f>IF('Jelenlét'!I25&gt;=1,'Jelenlét'!I25*'Jelenlét'!$Z25,"")</f>
        <v>2245.6</v>
      </c>
      <c r="J25" s="5" t="str">
        <f>IF('Jelenlét'!J25&gt;=1,'Jelenlét'!J25*'Jelenlét'!$Z25,"")</f>
        <v/>
      </c>
      <c r="K25" s="5" t="str">
        <f>IF('Jelenlét'!K25&gt;=1,'Jelenlét'!K25*'Jelenlét'!$Z25,"")</f>
        <v/>
      </c>
      <c r="L25" s="5" t="str">
        <f>IF('Jelenlét'!L25&gt;=1,'Jelenlét'!L25*'Jelenlét'!$Z25,"")</f>
        <v/>
      </c>
      <c r="M25" s="5" t="str">
        <f>IF('Jelenlét'!M25&gt;=1,'Jelenlét'!M25*'Jelenlét'!$Z25,"")</f>
        <v/>
      </c>
      <c r="N25" s="5" t="str">
        <f>IF('Jelenlét'!N25&gt;=1,'Jelenlét'!N25*'Jelenlét'!$Z25,"")</f>
        <v/>
      </c>
      <c r="O25" s="5" t="str">
        <f>IF('Jelenlét'!O25&gt;=1,'Jelenlét'!O25*'Jelenlét'!$Z25,"")</f>
        <v/>
      </c>
      <c r="P25" s="5" t="str">
        <f>IF('Jelenlét'!P25&gt;=1,'Jelenlét'!P25*'Jelenlét'!$Z25,"")</f>
        <v/>
      </c>
      <c r="Q25" s="5">
        <f>IF('Jelenlét'!Q25&gt;=1,'Jelenlét'!Q25*'Jelenlét'!$Z25,"")</f>
        <v>2245.6</v>
      </c>
      <c r="R25" s="5">
        <f>IF('Jelenlét'!R25&gt;=1,'Jelenlét'!R25*'Jelenlét'!$Z25,"")</f>
        <v>8982.4</v>
      </c>
      <c r="S25" s="5">
        <f>IF('Jelenlét'!S25&gt;=1,'Jelenlét'!S25*'Jelenlét'!$Z25,"")</f>
        <v>2245.6</v>
      </c>
      <c r="T25" s="5" t="str">
        <f>IF('Jelenlét'!T25&gt;=1,'Jelenlét'!T25*'Jelenlét'!$Z25,"")</f>
        <v/>
      </c>
      <c r="U25" s="5">
        <f>IF('Jelenlét'!U25&gt;=1,'Jelenlét'!U25*'Jelenlét'!$Z25,"")</f>
        <v>2245.6</v>
      </c>
      <c r="V25" s="5" t="str">
        <f>IF('Jelenlét'!AB25="Jövök :)",'Jelenlét'!AY25,"")</f>
        <v/>
      </c>
      <c r="W25" s="5"/>
      <c r="X25" s="5"/>
      <c r="Y25" s="5"/>
    </row>
    <row r="26">
      <c r="A26" s="8">
        <v>45776.0</v>
      </c>
      <c r="B26" s="5" t="str">
        <f>IF('Jelenlét'!B26&gt;=1,'Jelenlét'!B26*'Jelenlét'!$Z26,"")</f>
        <v/>
      </c>
      <c r="C26" s="5" t="str">
        <f>IF('Jelenlét'!C26&gt;=1,'Jelenlét'!C26*'Jelenlét'!$Z26,"")</f>
        <v/>
      </c>
      <c r="D26" s="5">
        <f>IF('Jelenlét'!D26&gt;=1,'Jelenlét'!D26*'Jelenlét'!$Z26,"")</f>
        <v>1727.384615</v>
      </c>
      <c r="E26" s="5" t="str">
        <f>IF('Jelenlét'!E26&gt;=1,'Jelenlét'!E26*'Jelenlét'!$Z26,"")</f>
        <v/>
      </c>
      <c r="F26" s="5">
        <f>IF('Jelenlét'!F26&gt;=1,'Jelenlét'!F26*'Jelenlét'!$Z26,"")</f>
        <v>1727.384615</v>
      </c>
      <c r="G26" s="5">
        <f>IF('Jelenlét'!G26&gt;=1,'Jelenlét'!G26*'Jelenlét'!$Z26,"")</f>
        <v>3454.769231</v>
      </c>
      <c r="H26" s="5">
        <f>IF('Jelenlét'!H26&gt;=1,'Jelenlét'!H26*'Jelenlét'!$Z26,"")</f>
        <v>1727.384615</v>
      </c>
      <c r="I26" s="5">
        <f>IF('Jelenlét'!I26&gt;=1,'Jelenlét'!I26*'Jelenlét'!$Z26,"")</f>
        <v>1727.384615</v>
      </c>
      <c r="J26" s="5">
        <f>IF('Jelenlét'!J26&gt;=1,'Jelenlét'!J26*'Jelenlét'!$Z26,"")</f>
        <v>1727.384615</v>
      </c>
      <c r="K26" s="5" t="str">
        <f>IF('Jelenlét'!K26&gt;=1,'Jelenlét'!K26*'Jelenlét'!$Z26,"")</f>
        <v/>
      </c>
      <c r="L26" s="5">
        <f>IF('Jelenlét'!L26&gt;=1,'Jelenlét'!L26*'Jelenlét'!$Z26,"")</f>
        <v>1727.384615</v>
      </c>
      <c r="M26" s="5" t="str">
        <f>IF('Jelenlét'!M26&gt;=1,'Jelenlét'!M26*'Jelenlét'!$Z26,"")</f>
        <v/>
      </c>
      <c r="N26" s="5" t="str">
        <f>IF('Jelenlét'!N26&gt;=1,'Jelenlét'!N26*'Jelenlét'!$Z26,"")</f>
        <v/>
      </c>
      <c r="O26" s="5" t="str">
        <f>IF('Jelenlét'!O26&gt;=1,'Jelenlét'!O26*'Jelenlét'!$Z26,"")</f>
        <v/>
      </c>
      <c r="P26" s="5">
        <f>IF('Jelenlét'!P26&gt;=1,'Jelenlét'!P26*'Jelenlét'!$Z26,"")</f>
        <v>1727.384615</v>
      </c>
      <c r="Q26" s="5">
        <f>IF('Jelenlét'!Q26&gt;=1,'Jelenlét'!Q26*'Jelenlét'!$Z26,"")</f>
        <v>1727.384615</v>
      </c>
      <c r="R26" s="5">
        <f>IF('Jelenlét'!R26&gt;=1,'Jelenlét'!R26*'Jelenlét'!$Z26,"")</f>
        <v>1727.384615</v>
      </c>
      <c r="S26" s="5" t="str">
        <f>IF('Jelenlét'!S26&gt;=1,'Jelenlét'!S26*'Jelenlét'!$Z26,"")</f>
        <v/>
      </c>
      <c r="T26" s="5">
        <f>IF('Jelenlét'!T26&gt;=1,'Jelenlét'!T26*'Jelenlét'!$Z26,"")</f>
        <v>1727.384615</v>
      </c>
      <c r="U26" s="5">
        <f>IF('Jelenlét'!U26&gt;=1,'Jelenlét'!U26*'Jelenlét'!$Z26,"")</f>
        <v>1727.384615</v>
      </c>
      <c r="V26" s="5" t="str">
        <f>IF('Jelenlét'!AB26="Jövök :)",'Jelenlét'!AY26,"")</f>
        <v/>
      </c>
      <c r="W26" s="5"/>
      <c r="X26" s="5"/>
      <c r="Y26" s="5"/>
    </row>
    <row r="27">
      <c r="A27" s="8">
        <v>45783.0</v>
      </c>
      <c r="B27" s="5" t="str">
        <f>IF('Jelenlét'!B27&gt;=1,'Jelenlét'!B27*'Jelenlét'!$Z27,"")</f>
        <v/>
      </c>
      <c r="C27" s="5">
        <f>IF('Jelenlét'!C27&gt;=1,'Jelenlét'!C27*'Jelenlét'!$Z27,"")</f>
        <v>2566.666667</v>
      </c>
      <c r="D27" s="5">
        <f>IF('Jelenlét'!D27&gt;=1,'Jelenlét'!D27*'Jelenlét'!$Z27,"")</f>
        <v>2566.666667</v>
      </c>
      <c r="E27" s="5" t="str">
        <f>IF('Jelenlét'!E27&gt;=1,'Jelenlét'!E27*'Jelenlét'!$Z27,"")</f>
        <v/>
      </c>
      <c r="F27" s="5">
        <f>IF('Jelenlét'!F27&gt;=1,'Jelenlét'!F27*'Jelenlét'!$Z27,"")</f>
        <v>2566.666667</v>
      </c>
      <c r="G27" s="5">
        <f>IF('Jelenlét'!G27&gt;=1,'Jelenlét'!G27*'Jelenlét'!$Z27,"")</f>
        <v>2566.666667</v>
      </c>
      <c r="H27" s="5">
        <f>IF('Jelenlét'!H27&gt;=1,'Jelenlét'!H27*'Jelenlét'!$Z27,"")</f>
        <v>2566.666667</v>
      </c>
      <c r="I27" s="5">
        <f>IF('Jelenlét'!I27&gt;=1,'Jelenlét'!I27*'Jelenlét'!$Z27,"")</f>
        <v>2566.666667</v>
      </c>
      <c r="J27" s="5">
        <f>IF('Jelenlét'!J27&gt;=1,'Jelenlét'!J27*'Jelenlét'!$Z27,"")</f>
        <v>2566.666667</v>
      </c>
      <c r="K27" s="5" t="str">
        <f>IF('Jelenlét'!K27&gt;=1,'Jelenlét'!K27*'Jelenlét'!$Z27,"")</f>
        <v/>
      </c>
      <c r="L27" s="5" t="str">
        <f>IF('Jelenlét'!L27&gt;=1,'Jelenlét'!L27*'Jelenlét'!$Z27,"")</f>
        <v/>
      </c>
      <c r="M27" s="5" t="str">
        <f>IF('Jelenlét'!M27&gt;=1,'Jelenlét'!M27*'Jelenlét'!$Z27,"")</f>
        <v/>
      </c>
      <c r="N27" s="5" t="str">
        <f>IF('Jelenlét'!N27&gt;=1,'Jelenlét'!N27*'Jelenlét'!$Z27,"")</f>
        <v/>
      </c>
      <c r="O27" s="5" t="str">
        <f>IF('Jelenlét'!O27&gt;=1,'Jelenlét'!O27*'Jelenlét'!$Z27,"")</f>
        <v/>
      </c>
      <c r="P27" s="5" t="str">
        <f>IF('Jelenlét'!P27&gt;=1,'Jelenlét'!P27*'Jelenlét'!$Z27,"")</f>
        <v/>
      </c>
      <c r="Q27" s="5" t="str">
        <f>IF('Jelenlét'!Q27&gt;=1,'Jelenlét'!Q27*'Jelenlét'!$Z27,"")</f>
        <v/>
      </c>
      <c r="R27" s="5" t="str">
        <f>IF('Jelenlét'!R27&gt;=1,'Jelenlét'!R27*'Jelenlét'!$Z27,"")</f>
        <v/>
      </c>
      <c r="S27" s="5" t="str">
        <f>IF('Jelenlét'!S27&gt;=1,'Jelenlét'!S27*'Jelenlét'!$Z27,"")</f>
        <v/>
      </c>
      <c r="T27" s="5">
        <f>IF('Jelenlét'!T27&gt;=1,'Jelenlét'!T27*'Jelenlét'!$Z27,"")</f>
        <v>2566.666667</v>
      </c>
      <c r="U27" s="5">
        <f>IF('Jelenlét'!U27&gt;=1,'Jelenlét'!U27*'Jelenlét'!$Z27,"")</f>
        <v>2566.666667</v>
      </c>
      <c r="V27" s="5" t="str">
        <f>IF('Jelenlét'!AB27="Jövök :)",'Jelenlét'!AY27,"")</f>
        <v/>
      </c>
      <c r="W27" s="5"/>
      <c r="X27" s="5"/>
      <c r="Y27" s="5"/>
    </row>
    <row r="28">
      <c r="A28" s="8">
        <v>45790.0</v>
      </c>
      <c r="B28" s="5" t="str">
        <f>IF('Jelenlét'!B28&gt;=1,'Jelenlét'!B28*'Jelenlét'!$Z28,"")</f>
        <v/>
      </c>
      <c r="C28" s="5" t="str">
        <f>IF('Jelenlét'!C28&gt;=1,'Jelenlét'!C28*'Jelenlét'!$Z28,"")</f>
        <v/>
      </c>
      <c r="D28" s="5">
        <f>IF('Jelenlét'!D28&gt;=1,'Jelenlét'!D28*'Jelenlét'!$Z28,"")</f>
        <v>2566.666667</v>
      </c>
      <c r="E28" s="5" t="str">
        <f>IF('Jelenlét'!E28&gt;=1,'Jelenlét'!E28*'Jelenlét'!$Z28,"")</f>
        <v/>
      </c>
      <c r="F28" s="5">
        <f>IF('Jelenlét'!F28&gt;=1,'Jelenlét'!F28*'Jelenlét'!$Z28,"")</f>
        <v>2566.666667</v>
      </c>
      <c r="G28" s="5">
        <f>IF('Jelenlét'!G28&gt;=1,'Jelenlét'!G28*'Jelenlét'!$Z28,"")</f>
        <v>2566.666667</v>
      </c>
      <c r="H28" s="5" t="str">
        <f>IF('Jelenlét'!H28&gt;=1,'Jelenlét'!H28*'Jelenlét'!$Z28,"")</f>
        <v/>
      </c>
      <c r="I28" s="5" t="str">
        <f>IF('Jelenlét'!I28&gt;=1,'Jelenlét'!I28*'Jelenlét'!$Z28,"")</f>
        <v/>
      </c>
      <c r="J28" s="5">
        <f>IF('Jelenlét'!J28&gt;=1,'Jelenlét'!J28*'Jelenlét'!$Z28,"")</f>
        <v>2566.666667</v>
      </c>
      <c r="K28" s="5" t="str">
        <f>IF('Jelenlét'!K28&gt;=1,'Jelenlét'!K28*'Jelenlét'!$Z28,"")</f>
        <v/>
      </c>
      <c r="L28" s="5" t="str">
        <f>IF('Jelenlét'!L28&gt;=1,'Jelenlét'!L28*'Jelenlét'!$Z28,"")</f>
        <v/>
      </c>
      <c r="M28" s="5" t="str">
        <f>IF('Jelenlét'!M28&gt;=1,'Jelenlét'!M28*'Jelenlét'!$Z28,"")</f>
        <v/>
      </c>
      <c r="N28" s="5" t="str">
        <f>IF('Jelenlét'!N28&gt;=1,'Jelenlét'!N28*'Jelenlét'!$Z28,"")</f>
        <v/>
      </c>
      <c r="O28" s="5" t="str">
        <f>IF('Jelenlét'!O28&gt;=1,'Jelenlét'!O28*'Jelenlét'!$Z28,"")</f>
        <v/>
      </c>
      <c r="P28" s="5" t="str">
        <f>IF('Jelenlét'!P28&gt;=1,'Jelenlét'!P28*'Jelenlét'!$Z28,"")</f>
        <v/>
      </c>
      <c r="Q28" s="5" t="str">
        <f>IF('Jelenlét'!Q28&gt;=1,'Jelenlét'!Q28*'Jelenlét'!$Z28,"")</f>
        <v/>
      </c>
      <c r="R28" s="5">
        <f>IF('Jelenlét'!R28&gt;=1,'Jelenlét'!R28*'Jelenlét'!$Z28,"")</f>
        <v>7700</v>
      </c>
      <c r="S28" s="5">
        <f>IF('Jelenlét'!S28&gt;=1,'Jelenlét'!S28*'Jelenlét'!$Z28,"")</f>
        <v>2566.666667</v>
      </c>
      <c r="T28" s="5" t="str">
        <f>IF('Jelenlét'!T28&gt;=1,'Jelenlét'!T28*'Jelenlét'!$Z28,"")</f>
        <v/>
      </c>
      <c r="U28" s="5">
        <f>IF('Jelenlét'!U28&gt;=1,'Jelenlét'!U28*'Jelenlét'!$Z28,"")</f>
        <v>2566.666667</v>
      </c>
      <c r="V28" s="5" t="str">
        <f>IF('Jelenlét'!AB28="Jövök :)",'Jelenlét'!AY28,"")</f>
        <v/>
      </c>
      <c r="W28" s="5"/>
      <c r="X28" s="5"/>
      <c r="Y28" s="5"/>
    </row>
    <row r="29">
      <c r="A29" s="8">
        <v>45797.0</v>
      </c>
      <c r="B29" s="5" t="str">
        <f>IF('Jelenlét'!B29&gt;=1,'Jelenlét'!B29*'Jelenlét'!$Z29,"")</f>
        <v/>
      </c>
      <c r="C29" s="5">
        <f>IF('Jelenlét'!C29&gt;=1,'Jelenlét'!C29*'Jelenlét'!$Z29,"")</f>
        <v>2566.666667</v>
      </c>
      <c r="D29" s="5" t="str">
        <f>IF('Jelenlét'!D29&gt;=1,'Jelenlét'!D29*'Jelenlét'!$Z29,"")</f>
        <v/>
      </c>
      <c r="E29" s="5" t="str">
        <f>IF('Jelenlét'!E29&gt;=1,'Jelenlét'!E29*'Jelenlét'!$Z29,"")</f>
        <v/>
      </c>
      <c r="F29" s="5" t="str">
        <f>IF('Jelenlét'!F29&gt;=1,'Jelenlét'!F29*'Jelenlét'!$Z29,"")</f>
        <v/>
      </c>
      <c r="G29" s="5">
        <f>IF('Jelenlét'!G29&gt;=1,'Jelenlét'!G29*'Jelenlét'!$Z29,"")</f>
        <v>2566.666667</v>
      </c>
      <c r="H29" s="5">
        <f>IF('Jelenlét'!H29&gt;=1,'Jelenlét'!H29*'Jelenlét'!$Z29,"")</f>
        <v>2566.666667</v>
      </c>
      <c r="I29" s="5" t="str">
        <f>IF('Jelenlét'!I29&gt;=1,'Jelenlét'!I29*'Jelenlét'!$Z29,"")</f>
        <v/>
      </c>
      <c r="J29" s="5" t="str">
        <f>IF('Jelenlét'!J29&gt;=1,'Jelenlét'!J29*'Jelenlét'!$Z29,"")</f>
        <v/>
      </c>
      <c r="K29" s="5" t="str">
        <f>IF('Jelenlét'!K29&gt;=1,'Jelenlét'!K29*'Jelenlét'!$Z29,"")</f>
        <v/>
      </c>
      <c r="L29" s="5" t="str">
        <f>IF('Jelenlét'!L29&gt;=1,'Jelenlét'!L29*'Jelenlét'!$Z29,"")</f>
        <v/>
      </c>
      <c r="M29" s="5" t="str">
        <f>IF('Jelenlét'!M29&gt;=1,'Jelenlét'!M29*'Jelenlét'!$Z29,"")</f>
        <v/>
      </c>
      <c r="N29" s="5" t="str">
        <f>IF('Jelenlét'!N29&gt;=1,'Jelenlét'!N29*'Jelenlét'!$Z29,"")</f>
        <v/>
      </c>
      <c r="O29" s="5" t="str">
        <f>IF('Jelenlét'!O29&gt;=1,'Jelenlét'!O29*'Jelenlét'!$Z29,"")</f>
        <v/>
      </c>
      <c r="P29" s="5" t="str">
        <f>IF('Jelenlét'!P29&gt;=1,'Jelenlét'!P29*'Jelenlét'!$Z29,"")</f>
        <v/>
      </c>
      <c r="Q29" s="5">
        <f>IF('Jelenlét'!Q29&gt;=1,'Jelenlét'!Q29*'Jelenlét'!$Z29,"")</f>
        <v>2566.666667</v>
      </c>
      <c r="R29" s="5">
        <f>IF('Jelenlét'!R29&gt;=1,'Jelenlét'!R29*'Jelenlét'!$Z29,"")</f>
        <v>12833.33333</v>
      </c>
      <c r="S29" s="5" t="str">
        <f>IF('Jelenlét'!S29&gt;=1,'Jelenlét'!S29*'Jelenlét'!$Z29,"")</f>
        <v/>
      </c>
      <c r="T29" s="5" t="str">
        <f>IF('Jelenlét'!T29&gt;=1,'Jelenlét'!T29*'Jelenlét'!$Z29,"")</f>
        <v/>
      </c>
      <c r="U29" s="5" t="str">
        <f>IF('Jelenlét'!U29&gt;=1,'Jelenlét'!U29*'Jelenlét'!$Z29,"")</f>
        <v/>
      </c>
      <c r="V29" s="5" t="str">
        <f>IF('Jelenlét'!AB29="Jövök :)",'Jelenlét'!AY29,"")</f>
        <v/>
      </c>
      <c r="W29" s="5"/>
      <c r="X29" s="5"/>
      <c r="Y29" s="5"/>
    </row>
    <row r="30">
      <c r="A30" s="8">
        <v>45804.0</v>
      </c>
      <c r="B30" s="5" t="str">
        <f>IF('Jelenlét'!B30&gt;=1,'Jelenlét'!B30*'Jelenlét'!$Z30,"")</f>
        <v/>
      </c>
      <c r="C30" s="5">
        <f>IF('Jelenlét'!C30&gt;=1,'Jelenlét'!C30*'Jelenlét'!$Z30,"")</f>
        <v>1650</v>
      </c>
      <c r="D30" s="5">
        <f>IF('Jelenlét'!D30&gt;=1,'Jelenlét'!D30*'Jelenlét'!$Z30,"")</f>
        <v>1650</v>
      </c>
      <c r="E30" s="5">
        <f>IF('Jelenlét'!E30&gt;=1,'Jelenlét'!E30*'Jelenlét'!$Z30,"")</f>
        <v>3300</v>
      </c>
      <c r="F30" s="5">
        <f>IF('Jelenlét'!F30&gt;=1,'Jelenlét'!F30*'Jelenlét'!$Z30,"")</f>
        <v>1650</v>
      </c>
      <c r="G30" s="5">
        <f>IF('Jelenlét'!G30&gt;=1,'Jelenlét'!G30*'Jelenlét'!$Z30,"")</f>
        <v>1650</v>
      </c>
      <c r="H30" s="5">
        <f>IF('Jelenlét'!H30&gt;=1,'Jelenlét'!H30*'Jelenlét'!$Z30,"")</f>
        <v>1650</v>
      </c>
      <c r="I30" s="5">
        <f>IF('Jelenlét'!I30&gt;=1,'Jelenlét'!I30*'Jelenlét'!$Z30,"")</f>
        <v>1650</v>
      </c>
      <c r="J30" s="5">
        <f>IF('Jelenlét'!J30&gt;=1,'Jelenlét'!J30*'Jelenlét'!$Z30,"")</f>
        <v>1650</v>
      </c>
      <c r="K30" s="5" t="str">
        <f>IF('Jelenlét'!K30&gt;=1,'Jelenlét'!K30*'Jelenlét'!$Z30,"")</f>
        <v/>
      </c>
      <c r="L30" s="5" t="str">
        <f>IF('Jelenlét'!L30&gt;=1,'Jelenlét'!L30*'Jelenlét'!$Z30,"")</f>
        <v/>
      </c>
      <c r="M30" s="5" t="str">
        <f>IF('Jelenlét'!M30&gt;=1,'Jelenlét'!M30*'Jelenlét'!$Z30,"")</f>
        <v/>
      </c>
      <c r="N30" s="5" t="str">
        <f>IF('Jelenlét'!N30&gt;=1,'Jelenlét'!N30*'Jelenlét'!$Z30,"")</f>
        <v/>
      </c>
      <c r="O30" s="5" t="str">
        <f>IF('Jelenlét'!O30&gt;=1,'Jelenlét'!O30*'Jelenlét'!$Z30,"")</f>
        <v/>
      </c>
      <c r="P30" s="5" t="str">
        <f>IF('Jelenlét'!P30&gt;=1,'Jelenlét'!P30*'Jelenlét'!$Z30,"")</f>
        <v/>
      </c>
      <c r="Q30" s="5">
        <f>IF('Jelenlét'!Q30&gt;=1,'Jelenlét'!Q30*'Jelenlét'!$Z30,"")</f>
        <v>1650</v>
      </c>
      <c r="R30" s="5" t="str">
        <f>IF('Jelenlét'!R30&gt;=1,'Jelenlét'!R30*'Jelenlét'!$Z30,"")</f>
        <v/>
      </c>
      <c r="S30" s="5">
        <f>IF('Jelenlét'!S30&gt;=1,'Jelenlét'!S30*'Jelenlét'!$Z30,"")</f>
        <v>3300</v>
      </c>
      <c r="T30" s="5">
        <f>IF('Jelenlét'!T30&gt;=1,'Jelenlét'!T30*'Jelenlét'!$Z30,"")</f>
        <v>1650</v>
      </c>
      <c r="U30" s="5">
        <f>IF('Jelenlét'!U30&gt;=1,'Jelenlét'!U30*'Jelenlét'!$Z30,"")</f>
        <v>1650</v>
      </c>
      <c r="V30" s="5" t="str">
        <f>IF('Jelenlét'!V30&gt;=1,'Jelenlét'!V30*'Jelenlét'!$Z30,"")</f>
        <v/>
      </c>
      <c r="W30" s="5"/>
      <c r="X30" s="5"/>
      <c r="Y30" s="5"/>
    </row>
    <row r="31">
      <c r="A31" s="8">
        <v>45811.0</v>
      </c>
      <c r="B31" s="5" t="str">
        <f>IF('Jelenlét'!B31&gt;=1,'Jelenlét'!B31*'Jelenlét'!$Z31,"")</f>
        <v/>
      </c>
      <c r="C31" s="5" t="str">
        <f>IF('Jelenlét'!C31&gt;=1,'Jelenlét'!C31*'Jelenlét'!$Z31,"")</f>
        <v/>
      </c>
      <c r="D31" s="5" t="str">
        <f>IF('Jelenlét'!D31&gt;=1,'Jelenlét'!D31*'Jelenlét'!$Z31,"")</f>
        <v/>
      </c>
      <c r="E31" s="5" t="str">
        <f>IF('Jelenlét'!E31&gt;=1,'Jelenlét'!E31*'Jelenlét'!$Z31,"")</f>
        <v/>
      </c>
      <c r="F31" s="5">
        <f>IF('Jelenlét'!F31&gt;=1,'Jelenlét'!F31*'Jelenlét'!$Z31,"")</f>
        <v>2160.454545</v>
      </c>
      <c r="G31" s="5">
        <f>IF('Jelenlét'!G31&gt;=1,'Jelenlét'!G31*'Jelenlét'!$Z31,"")</f>
        <v>2160.454545</v>
      </c>
      <c r="H31" s="5">
        <f>IF('Jelenlét'!H31&gt;=1,'Jelenlét'!H31*'Jelenlét'!$Z31,"")</f>
        <v>2160.454545</v>
      </c>
      <c r="I31" s="5">
        <f>IF('Jelenlét'!I31&gt;=1,'Jelenlét'!I31*'Jelenlét'!$Z31,"")</f>
        <v>2160.454545</v>
      </c>
      <c r="J31" s="5">
        <f>IF('Jelenlét'!J31&gt;=1,'Jelenlét'!J31*'Jelenlét'!$Z31,"")</f>
        <v>2160.454545</v>
      </c>
      <c r="K31" s="5" t="str">
        <f>IF('Jelenlét'!K31&gt;=1,'Jelenlét'!K31*'Jelenlét'!$Z31,"")</f>
        <v/>
      </c>
      <c r="L31" s="5" t="str">
        <f>IF('Jelenlét'!L31&gt;=1,'Jelenlét'!L31*'Jelenlét'!$Z31,"")</f>
        <v/>
      </c>
      <c r="M31" s="5" t="str">
        <f>IF('Jelenlét'!M31&gt;=1,'Jelenlét'!M31*'Jelenlét'!$Z31,"")</f>
        <v/>
      </c>
      <c r="N31" s="5" t="str">
        <f>IF('Jelenlét'!N31&gt;=1,'Jelenlét'!N31*'Jelenlét'!$Z31,"")</f>
        <v/>
      </c>
      <c r="O31" s="5" t="str">
        <f>IF('Jelenlét'!O31&gt;=1,'Jelenlét'!O31*'Jelenlét'!$Z31,"")</f>
        <v/>
      </c>
      <c r="P31" s="5" t="str">
        <f>IF('Jelenlét'!P31&gt;=1,'Jelenlét'!P31*'Jelenlét'!$Z31,"")</f>
        <v/>
      </c>
      <c r="Q31" s="5">
        <f>IF('Jelenlét'!Q31&gt;=1,'Jelenlét'!Q31*'Jelenlét'!$Z31,"")</f>
        <v>2160.454545</v>
      </c>
      <c r="R31" s="5">
        <f>IF('Jelenlét'!R31&gt;=1,'Jelenlét'!R31*'Jelenlét'!$Z31,"")</f>
        <v>6481.363636</v>
      </c>
      <c r="S31" s="5" t="str">
        <f>IF('Jelenlét'!S31&gt;=1,'Jelenlét'!S31*'Jelenlét'!$Z31,"")</f>
        <v/>
      </c>
      <c r="T31" s="5">
        <f>IF('Jelenlét'!T31&gt;=1,'Jelenlét'!T31*'Jelenlét'!$Z31,"")</f>
        <v>2160.454545</v>
      </c>
      <c r="U31" s="5">
        <f>IF('Jelenlét'!U31&gt;=1,'Jelenlét'!U31*'Jelenlét'!$Z31,"")</f>
        <v>2160.454545</v>
      </c>
      <c r="V31" s="5" t="str">
        <f>IF('Jelenlét'!V31&gt;=1,'Jelenlét'!V31*'Jelenlét'!$Z31,"")</f>
        <v/>
      </c>
      <c r="W31" s="5"/>
      <c r="X31" s="5"/>
      <c r="Y31" s="5"/>
    </row>
    <row r="32">
      <c r="A32" s="8">
        <v>45818.0</v>
      </c>
      <c r="B32" s="5" t="str">
        <f>IF('Jelenlét'!B32&gt;=1,'Jelenlét'!B32*'Jelenlét'!$Z32,"")</f>
        <v/>
      </c>
      <c r="C32" s="5">
        <f>IF('Jelenlét'!C32&gt;=1,'Jelenlét'!C32*'Jelenlét'!$Z32,"")</f>
        <v>1828.076923</v>
      </c>
      <c r="D32" s="5" t="str">
        <f>IF('Jelenlét'!D32&gt;=1,'Jelenlét'!D32*'Jelenlét'!$Z32,"")</f>
        <v/>
      </c>
      <c r="E32" s="5" t="str">
        <f>IF('Jelenlét'!E32&gt;=1,'Jelenlét'!E32*'Jelenlét'!$Z32,"")</f>
        <v/>
      </c>
      <c r="F32" s="5">
        <f>IF('Jelenlét'!F32&gt;=1,'Jelenlét'!F32*'Jelenlét'!$Z32,"")</f>
        <v>1828.076923</v>
      </c>
      <c r="G32" s="5">
        <f>IF('Jelenlét'!G32&gt;=1,'Jelenlét'!G32*'Jelenlét'!$Z32,"")</f>
        <v>1828.076923</v>
      </c>
      <c r="H32" s="5">
        <f>IF('Jelenlét'!H32&gt;=1,'Jelenlét'!H32*'Jelenlét'!$Z32,"")</f>
        <v>1828.076923</v>
      </c>
      <c r="I32" s="5">
        <f>IF('Jelenlét'!I32&gt;=1,'Jelenlét'!I32*'Jelenlét'!$Z32,"")</f>
        <v>1828.076923</v>
      </c>
      <c r="J32" s="5">
        <f>IF('Jelenlét'!J32&gt;=1,'Jelenlét'!J32*'Jelenlét'!$Z32,"")</f>
        <v>1828.076923</v>
      </c>
      <c r="K32" s="5" t="str">
        <f>IF('Jelenlét'!K32&gt;=1,'Jelenlét'!K32*'Jelenlét'!$Z32,"")</f>
        <v/>
      </c>
      <c r="L32" s="5" t="str">
        <f>IF('Jelenlét'!L32&gt;=1,'Jelenlét'!L32*'Jelenlét'!$Z32,"")</f>
        <v/>
      </c>
      <c r="M32" s="5" t="str">
        <f>IF('Jelenlét'!M32&gt;=1,'Jelenlét'!M32*'Jelenlét'!$Z32,"")</f>
        <v/>
      </c>
      <c r="N32" s="5" t="str">
        <f>IF('Jelenlét'!N32&gt;=1,'Jelenlét'!N32*'Jelenlét'!$Z32,"")</f>
        <v/>
      </c>
      <c r="O32" s="5" t="str">
        <f>IF('Jelenlét'!O32&gt;=1,'Jelenlét'!O32*'Jelenlét'!$Z32,"")</f>
        <v/>
      </c>
      <c r="P32" s="5" t="str">
        <f>IF('Jelenlét'!P32&gt;=1,'Jelenlét'!P32*'Jelenlét'!$Z32,"")</f>
        <v/>
      </c>
      <c r="Q32" s="5">
        <f>IF('Jelenlét'!Q32&gt;=1,'Jelenlét'!Q32*'Jelenlét'!$Z32,"")</f>
        <v>1828.076923</v>
      </c>
      <c r="R32" s="5">
        <f>IF('Jelenlét'!R32&gt;=1,'Jelenlét'!R32*'Jelenlét'!$Z32,"")</f>
        <v>7312.307692</v>
      </c>
      <c r="S32" s="5">
        <f>IF('Jelenlét'!S32&gt;=1,'Jelenlét'!S32*'Jelenlét'!$Z32,"")</f>
        <v>1828.076923</v>
      </c>
      <c r="T32" s="5" t="str">
        <f>IF('Jelenlét'!T32&gt;=1,'Jelenlét'!T32*'Jelenlét'!$Z32,"")</f>
        <v/>
      </c>
      <c r="U32" s="5">
        <f>IF('Jelenlét'!U32&gt;=1,'Jelenlét'!U32*'Jelenlét'!$Z32,"")</f>
        <v>1828.076923</v>
      </c>
      <c r="V32" s="5" t="str">
        <f>IF('Jelenlét'!V32&gt;=1,'Jelenlét'!V32*'Jelenlét'!$Z32,"")</f>
        <v/>
      </c>
      <c r="W32" s="5"/>
      <c r="X32" s="5"/>
      <c r="Y32" s="5"/>
    </row>
    <row r="33">
      <c r="A33" s="8">
        <v>45825.0</v>
      </c>
      <c r="B33" s="5" t="str">
        <f>IF('Jelenlét'!B33&gt;=1,'Jelenlét'!B33*'Jelenlét'!$Z33,"")</f>
        <v/>
      </c>
      <c r="C33" s="5">
        <f>IF('Jelenlét'!C33&gt;=1,'Jelenlét'!C33*'Jelenlét'!$Z33,"")</f>
        <v>1980.416667</v>
      </c>
      <c r="D33" s="5">
        <f>IF('Jelenlét'!D33&gt;=1,'Jelenlét'!D33*'Jelenlét'!$Z33,"")</f>
        <v>1980.416667</v>
      </c>
      <c r="E33" s="5" t="str">
        <f>IF('Jelenlét'!E33&gt;=1,'Jelenlét'!E33*'Jelenlét'!$Z33,"")</f>
        <v/>
      </c>
      <c r="F33" s="5">
        <f>IF('Jelenlét'!F33&gt;=1,'Jelenlét'!F33*'Jelenlét'!$Z33,"")</f>
        <v>1980.416667</v>
      </c>
      <c r="G33" s="5">
        <f>IF('Jelenlét'!G33&gt;=1,'Jelenlét'!G33*'Jelenlét'!$Z33,"")</f>
        <v>1980.416667</v>
      </c>
      <c r="H33" s="5">
        <f>IF('Jelenlét'!H33&gt;=1,'Jelenlét'!H33*'Jelenlét'!$Z33,"")</f>
        <v>1980.416667</v>
      </c>
      <c r="I33" s="5">
        <f>IF('Jelenlét'!I33&gt;=1,'Jelenlét'!I33*'Jelenlét'!$Z33,"")</f>
        <v>1980.416667</v>
      </c>
      <c r="J33" s="5">
        <f>IF('Jelenlét'!J33&gt;=1,'Jelenlét'!J33*'Jelenlét'!$Z33,"")</f>
        <v>1980.416667</v>
      </c>
      <c r="K33" s="5" t="str">
        <f>IF('Jelenlét'!K33&gt;=1,'Jelenlét'!K33*'Jelenlét'!$Z33,"")</f>
        <v/>
      </c>
      <c r="L33" s="5" t="str">
        <f>IF('Jelenlét'!L33&gt;=1,'Jelenlét'!L33*'Jelenlét'!$Z33,"")</f>
        <v/>
      </c>
      <c r="M33" s="5" t="str">
        <f>IF('Jelenlét'!M33&gt;=1,'Jelenlét'!M33*'Jelenlét'!$Z33,"")</f>
        <v/>
      </c>
      <c r="N33" s="5" t="str">
        <f>IF('Jelenlét'!N33&gt;=1,'Jelenlét'!N33*'Jelenlét'!$Z33,"")</f>
        <v/>
      </c>
      <c r="O33" s="5" t="str">
        <f>IF('Jelenlét'!O33&gt;=1,'Jelenlét'!O33*'Jelenlét'!$Z33,"")</f>
        <v/>
      </c>
      <c r="P33" s="5" t="str">
        <f>IF('Jelenlét'!P33&gt;=1,'Jelenlét'!P33*'Jelenlét'!$Z33,"")</f>
        <v/>
      </c>
      <c r="Q33" s="5">
        <f>IF('Jelenlét'!Q33&gt;=1,'Jelenlét'!Q33*'Jelenlét'!$Z33,"")</f>
        <v>1980.416667</v>
      </c>
      <c r="R33" s="5">
        <f>IF('Jelenlét'!R33&gt;=1,'Jelenlét'!R33*'Jelenlét'!$Z33,"")</f>
        <v>3960.833333</v>
      </c>
      <c r="S33" s="5">
        <f>IF('Jelenlét'!S33&gt;=1,'Jelenlét'!S33*'Jelenlét'!$Z33,"")</f>
        <v>1980.416667</v>
      </c>
      <c r="T33" s="5" t="str">
        <f>IF('Jelenlét'!T33&gt;=1,'Jelenlét'!T33*'Jelenlét'!$Z33,"")</f>
        <v/>
      </c>
      <c r="U33" s="5">
        <f>IF('Jelenlét'!U33&gt;=1,'Jelenlét'!U33*'Jelenlét'!$Z33,"")</f>
        <v>1980.416667</v>
      </c>
      <c r="V33" s="5" t="str">
        <f>IF('Jelenlét'!V33&gt;=1,'Jelenlét'!V33*'Jelenlét'!$Z33,"")</f>
        <v/>
      </c>
      <c r="W33" s="5"/>
      <c r="X33" s="5"/>
      <c r="Y33" s="5"/>
    </row>
    <row r="34">
      <c r="A34" s="8">
        <v>45832.0</v>
      </c>
      <c r="B34" s="5" t="str">
        <f>IF('Jelenlét'!B34&gt;=1,'Jelenlét'!B34*'Jelenlét'!$Z34,"")</f>
        <v/>
      </c>
      <c r="C34" s="5">
        <f>IF('Jelenlét'!C34&gt;=1,'Jelenlét'!C34*'Jelenlét'!$Z34,"")</f>
        <v>1697.5</v>
      </c>
      <c r="D34" s="5">
        <f>IF('Jelenlét'!D34&gt;=1,'Jelenlét'!D34*'Jelenlét'!$Z34,"")</f>
        <v>1697.5</v>
      </c>
      <c r="E34" s="5" t="str">
        <f>IF('Jelenlét'!E34&gt;=1,'Jelenlét'!E34*'Jelenlét'!$Z34,"")</f>
        <v/>
      </c>
      <c r="F34" s="5">
        <f>IF('Jelenlét'!F34&gt;=1,'Jelenlét'!F34*'Jelenlét'!$Z34,"")</f>
        <v>1697.5</v>
      </c>
      <c r="G34" s="5">
        <f>IF('Jelenlét'!G34&gt;=1,'Jelenlét'!G34*'Jelenlét'!$Z34,"")</f>
        <v>1697.5</v>
      </c>
      <c r="H34" s="5">
        <f>IF('Jelenlét'!H34&gt;=1,'Jelenlét'!H34*'Jelenlét'!$Z34,"")</f>
        <v>1697.5</v>
      </c>
      <c r="I34" s="5">
        <f>IF('Jelenlét'!I34&gt;=1,'Jelenlét'!I34*'Jelenlét'!$Z34,"")</f>
        <v>1697.5</v>
      </c>
      <c r="J34" s="5">
        <f>IF('Jelenlét'!J34&gt;=1,'Jelenlét'!J34*'Jelenlét'!$Z34,"")</f>
        <v>1697.5</v>
      </c>
      <c r="K34" s="5" t="str">
        <f>IF('Jelenlét'!K34&gt;=1,'Jelenlét'!K34*'Jelenlét'!$Z34,"")</f>
        <v/>
      </c>
      <c r="L34" s="5" t="str">
        <f>IF('Jelenlét'!L34&gt;=1,'Jelenlét'!L34*'Jelenlét'!$Z34,"")</f>
        <v/>
      </c>
      <c r="M34" s="5" t="str">
        <f>IF('Jelenlét'!M34&gt;=1,'Jelenlét'!M34*'Jelenlét'!$Z34,"")</f>
        <v/>
      </c>
      <c r="N34" s="5" t="str">
        <f>IF('Jelenlét'!N34&gt;=1,'Jelenlét'!N34*'Jelenlét'!$Z34,"")</f>
        <v/>
      </c>
      <c r="O34" s="5" t="str">
        <f>IF('Jelenlét'!O34&gt;=1,'Jelenlét'!O34*'Jelenlét'!$Z34,"")</f>
        <v/>
      </c>
      <c r="P34" s="5" t="str">
        <f>IF('Jelenlét'!P34&gt;=1,'Jelenlét'!P34*'Jelenlét'!$Z34,"")</f>
        <v/>
      </c>
      <c r="Q34" s="5">
        <f>IF('Jelenlét'!Q34&gt;=1,'Jelenlét'!Q34*'Jelenlét'!$Z34,"")</f>
        <v>1697.5</v>
      </c>
      <c r="R34" s="5">
        <f>IF('Jelenlét'!R34&gt;=1,'Jelenlét'!R34*'Jelenlét'!$Z34,"")</f>
        <v>1697.5</v>
      </c>
      <c r="S34" s="5">
        <f>IF('Jelenlét'!S34&gt;=1,'Jelenlét'!S34*'Jelenlét'!$Z34,"")</f>
        <v>3395</v>
      </c>
      <c r="T34" s="5">
        <f>IF('Jelenlét'!T34&gt;=1,'Jelenlét'!T34*'Jelenlét'!$Z34,"")</f>
        <v>1697.5</v>
      </c>
      <c r="U34" s="5">
        <f>IF('Jelenlét'!U34&gt;=1,'Jelenlét'!U34*'Jelenlét'!$Z34,"")</f>
        <v>1697.5</v>
      </c>
      <c r="V34" s="5">
        <f>IF('Jelenlét'!V34&gt;=1,'Jelenlét'!V34*'Jelenlét'!$Z34,"")</f>
        <v>1697.5</v>
      </c>
      <c r="W34" s="5"/>
      <c r="X34" s="5"/>
      <c r="Y34" s="5"/>
    </row>
    <row r="35">
      <c r="A35" s="8">
        <v>45839.0</v>
      </c>
      <c r="B35" s="5" t="str">
        <f>IF('Jelenlét'!B35&gt;=1,'Jelenlét'!B35*'Jelenlét'!$Z35,"")</f>
        <v/>
      </c>
      <c r="C35" s="5">
        <f>IF('Jelenlét'!C35&gt;=1,'Jelenlét'!C35*'Jelenlét'!$Z35,"")</f>
        <v>1609.066667</v>
      </c>
      <c r="D35" s="5">
        <f>IF('Jelenlét'!D35&gt;=1,'Jelenlét'!D35*'Jelenlét'!$Z35,"")</f>
        <v>1609.066667</v>
      </c>
      <c r="E35" s="5">
        <f>IF('Jelenlét'!E35&gt;=1,'Jelenlét'!E35*'Jelenlét'!$Z35,"")</f>
        <v>3218.133333</v>
      </c>
      <c r="F35" s="5">
        <f>IF('Jelenlét'!F35&gt;=1,'Jelenlét'!F35*'Jelenlét'!$Z35,"")</f>
        <v>1609.066667</v>
      </c>
      <c r="G35" s="5">
        <f>IF('Jelenlét'!G35&gt;=1,'Jelenlét'!G35*'Jelenlét'!$Z35,"")</f>
        <v>1609.066667</v>
      </c>
      <c r="H35" s="5">
        <f>IF('Jelenlét'!H35&gt;=1,'Jelenlét'!H35*'Jelenlét'!$Z35,"")</f>
        <v>1609.066667</v>
      </c>
      <c r="I35" s="5">
        <f>IF('Jelenlét'!I35&gt;=1,'Jelenlét'!I35*'Jelenlét'!$Z35,"")</f>
        <v>1609.066667</v>
      </c>
      <c r="J35" s="5">
        <f>IF('Jelenlét'!J35&gt;=1,'Jelenlét'!J35*'Jelenlét'!$Z35,"")</f>
        <v>1609.066667</v>
      </c>
      <c r="K35" s="5">
        <f>IF('Jelenlét'!K35&gt;=1,'Jelenlét'!K35*'Jelenlét'!$Z35,"")</f>
        <v>1609.066667</v>
      </c>
      <c r="L35" s="5" t="str">
        <f>IF('Jelenlét'!L35&gt;=1,'Jelenlét'!L35*'Jelenlét'!$Z35,"")</f>
        <v/>
      </c>
      <c r="M35" s="5" t="str">
        <f>IF('Jelenlét'!M35&gt;=1,'Jelenlét'!M35*'Jelenlét'!$Z35,"")</f>
        <v/>
      </c>
      <c r="N35" s="5" t="str">
        <f>IF('Jelenlét'!N35&gt;=1,'Jelenlét'!N35*'Jelenlét'!$Z35,"")</f>
        <v/>
      </c>
      <c r="O35" s="5" t="str">
        <f>IF('Jelenlét'!O35&gt;=1,'Jelenlét'!O35*'Jelenlét'!$Z35,"")</f>
        <v/>
      </c>
      <c r="P35" s="5" t="str">
        <f>IF('Jelenlét'!P35&gt;=1,'Jelenlét'!P35*'Jelenlét'!$Z35,"")</f>
        <v/>
      </c>
      <c r="Q35" s="5">
        <f>IF('Jelenlét'!Q35&gt;=1,'Jelenlét'!Q35*'Jelenlét'!$Z35,"")</f>
        <v>1609.066667</v>
      </c>
      <c r="R35" s="5">
        <f>IF('Jelenlét'!R35&gt;=1,'Jelenlét'!R35*'Jelenlét'!$Z35,"")</f>
        <v>3218.133333</v>
      </c>
      <c r="S35" s="5" t="str">
        <f>IF('Jelenlét'!S35&gt;=1,'Jelenlét'!S35*'Jelenlét'!$Z35,"")</f>
        <v/>
      </c>
      <c r="T35" s="5" t="str">
        <f>IF('Jelenlét'!T35&gt;=1,'Jelenlét'!T35*'Jelenlét'!$Z35,"")</f>
        <v/>
      </c>
      <c r="U35" s="5">
        <f>IF('Jelenlét'!U35&gt;=1,'Jelenlét'!U35*'Jelenlét'!$Z35,"")</f>
        <v>1609.066667</v>
      </c>
      <c r="V35" s="5">
        <f>IF('Jelenlét'!V35&gt;=1,'Jelenlét'!V35*'Jelenlét'!$Z35,"")</f>
        <v>1609.066667</v>
      </c>
      <c r="W35" s="5"/>
      <c r="X35" s="5"/>
      <c r="Y35" s="5"/>
    </row>
    <row r="36">
      <c r="A36" s="8">
        <v>45846.0</v>
      </c>
      <c r="B36" s="5" t="str">
        <f>IF('Jelenlét'!B36&gt;=1,'Jelenlét'!B36*'Jelenlét'!$Z36,"")</f>
        <v/>
      </c>
      <c r="C36" s="5" t="str">
        <f>IF('Jelenlét'!C36&gt;=1,'Jelenlét'!C36*'Jelenlét'!$Z36,"")</f>
        <v/>
      </c>
      <c r="D36" s="5">
        <f>IF('Jelenlét'!D36&gt;=1,'Jelenlét'!D36*'Jelenlét'!$Z36,"")</f>
        <v>1609.066667</v>
      </c>
      <c r="E36" s="5" t="str">
        <f>IF('Jelenlét'!E36&gt;=1,'Jelenlét'!E36*'Jelenlét'!$Z36,"")</f>
        <v/>
      </c>
      <c r="F36" s="5">
        <f>IF('Jelenlét'!F36&gt;=1,'Jelenlét'!F36*'Jelenlét'!$Z36,"")</f>
        <v>3218.133333</v>
      </c>
      <c r="G36" s="5">
        <f>IF('Jelenlét'!G36&gt;=1,'Jelenlét'!G36*'Jelenlét'!$Z36,"")</f>
        <v>3218.133333</v>
      </c>
      <c r="H36" s="5" t="str">
        <f>IF('Jelenlét'!H36&gt;=1,'Jelenlét'!H36*'Jelenlét'!$Z36,"")</f>
        <v/>
      </c>
      <c r="I36" s="5">
        <f>IF('Jelenlét'!I36&gt;=1,'Jelenlét'!I36*'Jelenlét'!$Z36,"")</f>
        <v>1609.066667</v>
      </c>
      <c r="J36" s="5">
        <f>IF('Jelenlét'!J36&gt;=1,'Jelenlét'!J36*'Jelenlét'!$Z36,"")</f>
        <v>3218.133333</v>
      </c>
      <c r="K36" s="5" t="str">
        <f>IF('Jelenlét'!K36&gt;=1,'Jelenlét'!K36*'Jelenlét'!$Z36,"")</f>
        <v/>
      </c>
      <c r="L36" s="5" t="str">
        <f>IF('Jelenlét'!L36&gt;=1,'Jelenlét'!L36*'Jelenlét'!$Z36,"")</f>
        <v/>
      </c>
      <c r="M36" s="5" t="str">
        <f>IF('Jelenlét'!M36&gt;=1,'Jelenlét'!M36*'Jelenlét'!$Z36,"")</f>
        <v/>
      </c>
      <c r="N36" s="5" t="str">
        <f>IF('Jelenlét'!N36&gt;=1,'Jelenlét'!N36*'Jelenlét'!$Z36,"")</f>
        <v/>
      </c>
      <c r="O36" s="5" t="str">
        <f>IF('Jelenlét'!O36&gt;=1,'Jelenlét'!O36*'Jelenlét'!$Z36,"")</f>
        <v/>
      </c>
      <c r="P36" s="5" t="str">
        <f>IF('Jelenlét'!P36&gt;=1,'Jelenlét'!P36*'Jelenlét'!$Z36,"")</f>
        <v/>
      </c>
      <c r="Q36" s="5" t="str">
        <f>IF('Jelenlét'!Q36&gt;=1,'Jelenlét'!Q36*'Jelenlét'!$Z36,"")</f>
        <v/>
      </c>
      <c r="R36" s="5">
        <f>IF('Jelenlét'!R36&gt;=1,'Jelenlét'!R36*'Jelenlét'!$Z36,"")</f>
        <v>4827.2</v>
      </c>
      <c r="S36" s="5">
        <f>IF('Jelenlét'!S36&gt;=1,'Jelenlét'!S36*'Jelenlét'!$Z36,"")</f>
        <v>1609.066667</v>
      </c>
      <c r="T36" s="5">
        <f>IF('Jelenlét'!T36&gt;=1,'Jelenlét'!T36*'Jelenlét'!$Z36,"")</f>
        <v>1609.066667</v>
      </c>
      <c r="U36" s="5">
        <f>IF('Jelenlét'!U36&gt;=1,'Jelenlét'!U36*'Jelenlét'!$Z36,"")</f>
        <v>1609.066667</v>
      </c>
      <c r="V36" s="5">
        <f>IF('Jelenlét'!V36&gt;=1,'Jelenlét'!V36*'Jelenlét'!$Z36,"")</f>
        <v>1609.066667</v>
      </c>
      <c r="W36" s="5"/>
      <c r="X36" s="5"/>
      <c r="Y36" s="5"/>
    </row>
    <row r="37">
      <c r="A37" s="8">
        <v>45853.0</v>
      </c>
      <c r="B37" s="5" t="str">
        <f>IF('Jelenlét'!B37&gt;=1,'Jelenlét'!B37*'Jelenlét'!$Z37,"")</f>
        <v/>
      </c>
      <c r="C37" s="5">
        <f>IF('Jelenlét'!C37&gt;=1,'Jelenlét'!C37*'Jelenlét'!$Z37,"")</f>
        <v>2011.333333</v>
      </c>
      <c r="D37" s="5" t="str">
        <f>IF('Jelenlét'!D37&gt;=1,'Jelenlét'!D37*'Jelenlét'!$Z37,"")</f>
        <v/>
      </c>
      <c r="E37" s="5" t="str">
        <f>IF('Jelenlét'!E37&gt;=1,'Jelenlét'!E37*'Jelenlét'!$Z37,"")</f>
        <v/>
      </c>
      <c r="F37" s="5">
        <f>IF('Jelenlét'!F37&gt;=1,'Jelenlét'!F37*'Jelenlét'!$Z37,"")</f>
        <v>4022.666667</v>
      </c>
      <c r="G37" s="5">
        <f>IF('Jelenlét'!G37&gt;=1,'Jelenlét'!G37*'Jelenlét'!$Z37,"")</f>
        <v>4022.666667</v>
      </c>
      <c r="H37" s="5" t="str">
        <f>IF('Jelenlét'!H37&gt;=1,'Jelenlét'!H37*'Jelenlét'!$Z37,"")</f>
        <v/>
      </c>
      <c r="I37" s="5" t="str">
        <f>IF('Jelenlét'!I37&gt;=1,'Jelenlét'!I37*'Jelenlét'!$Z37,"")</f>
        <v/>
      </c>
      <c r="J37" s="5" t="str">
        <f>IF('Jelenlét'!J37&gt;=1,'Jelenlét'!J37*'Jelenlét'!$Z37,"")</f>
        <v/>
      </c>
      <c r="K37" s="5" t="str">
        <f>IF('Jelenlét'!K37&gt;=1,'Jelenlét'!K37*'Jelenlét'!$Z37,"")</f>
        <v/>
      </c>
      <c r="L37" s="5" t="str">
        <f>IF('Jelenlét'!L37&gt;=1,'Jelenlét'!L37*'Jelenlét'!$Z37,"")</f>
        <v/>
      </c>
      <c r="M37" s="5" t="str">
        <f>IF('Jelenlét'!M37&gt;=1,'Jelenlét'!M37*'Jelenlét'!$Z37,"")</f>
        <v/>
      </c>
      <c r="N37" s="5" t="str">
        <f>IF('Jelenlét'!N37&gt;=1,'Jelenlét'!N37*'Jelenlét'!$Z37,"")</f>
        <v/>
      </c>
      <c r="O37" s="5" t="str">
        <f>IF('Jelenlét'!O37&gt;=1,'Jelenlét'!O37*'Jelenlét'!$Z37,"")</f>
        <v/>
      </c>
      <c r="P37" s="5" t="str">
        <f>IF('Jelenlét'!P37&gt;=1,'Jelenlét'!P37*'Jelenlét'!$Z37,"")</f>
        <v/>
      </c>
      <c r="Q37" s="5">
        <f>IF('Jelenlét'!Q37&gt;=1,'Jelenlét'!Q37*'Jelenlét'!$Z37,"")</f>
        <v>2011.333333</v>
      </c>
      <c r="R37" s="5" t="str">
        <f>IF('Jelenlét'!R37&gt;=1,'Jelenlét'!R37*'Jelenlét'!$Z37,"")</f>
        <v/>
      </c>
      <c r="S37" s="5">
        <f>IF('Jelenlét'!S37&gt;=1,'Jelenlét'!S37*'Jelenlét'!$Z37,"")</f>
        <v>6034</v>
      </c>
      <c r="T37" s="5">
        <f>IF('Jelenlét'!T37&gt;=1,'Jelenlét'!T37*'Jelenlét'!$Z37,"")</f>
        <v>2011.333333</v>
      </c>
      <c r="U37" s="5">
        <f>IF('Jelenlét'!U37&gt;=1,'Jelenlét'!U37*'Jelenlét'!$Z37,"")</f>
        <v>2011.333333</v>
      </c>
      <c r="V37" s="5">
        <f>IF('Jelenlét'!V37&gt;=1,'Jelenlét'!V37*'Jelenlét'!$Z37,"")</f>
        <v>2011.333333</v>
      </c>
      <c r="W37" s="5"/>
      <c r="X37" s="5"/>
      <c r="Y37" s="5"/>
    </row>
    <row r="38">
      <c r="A38" s="8">
        <v>45860.0</v>
      </c>
      <c r="B38" s="5" t="str">
        <f>IF('Jelenlét'!B38&gt;=1,'Jelenlét'!B38*'Jelenlét'!$Z38,"")</f>
        <v/>
      </c>
      <c r="C38" s="5">
        <f>IF('Jelenlét'!C38&gt;=1,'Jelenlét'!C38*'Jelenlét'!$Z38,"")</f>
        <v>2011.333333</v>
      </c>
      <c r="D38" s="5">
        <f>IF('Jelenlét'!D38&gt;=1,'Jelenlét'!D38*'Jelenlét'!$Z38,"")</f>
        <v>2011.333333</v>
      </c>
      <c r="E38" s="5" t="str">
        <f>IF('Jelenlét'!E38&gt;=1,'Jelenlét'!E38*'Jelenlét'!$Z38,"")</f>
        <v/>
      </c>
      <c r="F38" s="5">
        <f>IF('Jelenlét'!F38&gt;=1,'Jelenlét'!F38*'Jelenlét'!$Z38,"")</f>
        <v>4022.666667</v>
      </c>
      <c r="G38" s="5" t="str">
        <f>IF('Jelenlét'!G38&gt;=1,'Jelenlét'!G38*'Jelenlét'!$Z38,"")</f>
        <v/>
      </c>
      <c r="H38" s="5" t="str">
        <f>IF('Jelenlét'!H38&gt;=1,'Jelenlét'!H38*'Jelenlét'!$Z38,"")</f>
        <v/>
      </c>
      <c r="I38" s="5" t="str">
        <f>IF('Jelenlét'!I38&gt;=1,'Jelenlét'!I38*'Jelenlét'!$Z38,"")</f>
        <v/>
      </c>
      <c r="J38" s="5">
        <f>IF('Jelenlét'!J38&gt;=1,'Jelenlét'!J38*'Jelenlét'!$Z38,"")</f>
        <v>2011.333333</v>
      </c>
      <c r="K38" s="5" t="str">
        <f>IF('Jelenlét'!K38&gt;=1,'Jelenlét'!K38*'Jelenlét'!$Z38,"")</f>
        <v/>
      </c>
      <c r="L38" s="5" t="str">
        <f>IF('Jelenlét'!L38&gt;=1,'Jelenlét'!L38*'Jelenlét'!$Z38,"")</f>
        <v/>
      </c>
      <c r="M38" s="5" t="str">
        <f>IF('Jelenlét'!M38&gt;=1,'Jelenlét'!M38*'Jelenlét'!$Z38,"")</f>
        <v/>
      </c>
      <c r="N38" s="5" t="str">
        <f>IF('Jelenlét'!N38&gt;=1,'Jelenlét'!N38*'Jelenlét'!$Z38,"")</f>
        <v/>
      </c>
      <c r="O38" s="5" t="str">
        <f>IF('Jelenlét'!O38&gt;=1,'Jelenlét'!O38*'Jelenlét'!$Z38,"")</f>
        <v/>
      </c>
      <c r="P38" s="5" t="str">
        <f>IF('Jelenlét'!P38&gt;=1,'Jelenlét'!P38*'Jelenlét'!$Z38,"")</f>
        <v/>
      </c>
      <c r="Q38" s="5" t="str">
        <f>IF('Jelenlét'!Q38&gt;=1,'Jelenlét'!Q38*'Jelenlét'!$Z38,"")</f>
        <v/>
      </c>
      <c r="R38" s="5">
        <f>IF('Jelenlét'!R38&gt;=1,'Jelenlét'!R38*'Jelenlét'!$Z38,"")</f>
        <v>12068</v>
      </c>
      <c r="S38" s="5" t="str">
        <f>IF('Jelenlét'!S38&gt;=1,'Jelenlét'!S38*'Jelenlét'!$Z38,"")</f>
        <v/>
      </c>
      <c r="T38" s="5" t="str">
        <f>IF('Jelenlét'!T38&gt;=1,'Jelenlét'!T38*'Jelenlét'!$Z38,"")</f>
        <v/>
      </c>
      <c r="U38" s="5">
        <f>IF('Jelenlét'!U38&gt;=1,'Jelenlét'!U38*'Jelenlét'!$Z38,"")</f>
        <v>2011.333333</v>
      </c>
      <c r="V38" s="5" t="str">
        <f>IF('Jelenlét'!V38&gt;=1,'Jelenlét'!V38*'Jelenlét'!$Z38,"")</f>
        <v/>
      </c>
      <c r="W38" s="5"/>
      <c r="X38" s="5"/>
      <c r="Y38" s="5"/>
    </row>
    <row r="39">
      <c r="A39" s="8">
        <v>45867.0</v>
      </c>
      <c r="B39" s="5" t="str">
        <f>IF('Jelenlét'!B39&gt;=1,'Jelenlét'!B39*'Jelenlét'!$Z39,"")</f>
        <v/>
      </c>
      <c r="C39" s="5" t="str">
        <f>IF('Jelenlét'!C39&gt;=1,'Jelenlét'!C39*'Jelenlét'!$Z39,"")</f>
        <v/>
      </c>
      <c r="D39" s="5">
        <f>IF('Jelenlét'!D39&gt;=1,'Jelenlét'!D39*'Jelenlét'!$Z39,"")</f>
        <v>6034</v>
      </c>
      <c r="E39" s="5">
        <f>IF('Jelenlét'!E39&gt;=1,'Jelenlét'!E39*'Jelenlét'!$Z39,"")</f>
        <v>4022.666667</v>
      </c>
      <c r="F39" s="5">
        <f>IF('Jelenlét'!F39&gt;=1,'Jelenlét'!F39*'Jelenlét'!$Z39,"")</f>
        <v>2011.333333</v>
      </c>
      <c r="G39" s="5">
        <f>IF('Jelenlét'!G39&gt;=1,'Jelenlét'!G39*'Jelenlét'!$Z39,"")</f>
        <v>2011.333333</v>
      </c>
      <c r="H39" s="5">
        <f>IF('Jelenlét'!H39&gt;=1,'Jelenlét'!H39*'Jelenlét'!$Z39,"")</f>
        <v>2011.333333</v>
      </c>
      <c r="I39" s="5">
        <f>IF('Jelenlét'!I39&gt;=1,'Jelenlét'!I39*'Jelenlét'!$Z39,"")</f>
        <v>2011.333333</v>
      </c>
      <c r="J39" s="5">
        <f>IF('Jelenlét'!J39&gt;=1,'Jelenlét'!J39*'Jelenlét'!$Z39,"")</f>
        <v>2011.333333</v>
      </c>
      <c r="K39" s="5" t="str">
        <f>IF('Jelenlét'!K39&gt;=1,'Jelenlét'!K39*'Jelenlét'!$Z39,"")</f>
        <v/>
      </c>
      <c r="L39" s="5" t="str">
        <f>IF('Jelenlét'!L39&gt;=1,'Jelenlét'!L39*'Jelenlét'!$Z39,"")</f>
        <v/>
      </c>
      <c r="M39" s="5" t="str">
        <f>IF('Jelenlét'!M39&gt;=1,'Jelenlét'!M39*'Jelenlét'!$Z39,"")</f>
        <v/>
      </c>
      <c r="N39" s="5" t="str">
        <f>IF('Jelenlét'!N39&gt;=1,'Jelenlét'!N39*'Jelenlét'!$Z39,"")</f>
        <v/>
      </c>
      <c r="O39" s="5" t="str">
        <f>IF('Jelenlét'!O39&gt;=1,'Jelenlét'!O39*'Jelenlét'!$Z39,"")</f>
        <v/>
      </c>
      <c r="P39" s="5" t="str">
        <f>IF('Jelenlét'!P39&gt;=1,'Jelenlét'!P39*'Jelenlét'!$Z39,"")</f>
        <v/>
      </c>
      <c r="Q39" s="5" t="str">
        <f>IF('Jelenlét'!Q39&gt;=1,'Jelenlét'!Q39*'Jelenlét'!$Z39,"")</f>
        <v/>
      </c>
      <c r="R39" s="5" t="str">
        <f>IF('Jelenlét'!R39&gt;=1,'Jelenlét'!R39*'Jelenlét'!$Z39,"")</f>
        <v/>
      </c>
      <c r="S39" s="5" t="str">
        <f>IF('Jelenlét'!S39&gt;=1,'Jelenlét'!S39*'Jelenlét'!$Z39,"")</f>
        <v/>
      </c>
      <c r="T39" s="5" t="str">
        <f>IF('Jelenlét'!T39&gt;=1,'Jelenlét'!T39*'Jelenlét'!$Z39,"")</f>
        <v/>
      </c>
      <c r="U39" s="5">
        <f>IF('Jelenlét'!U39&gt;=1,'Jelenlét'!U39*'Jelenlét'!$Z39,"")</f>
        <v>2011.333333</v>
      </c>
      <c r="V39" s="5">
        <f>IF('Jelenlét'!V39&gt;=1,'Jelenlét'!V39*'Jelenlét'!$Z39,"")</f>
        <v>2011.333333</v>
      </c>
      <c r="W39" s="5"/>
      <c r="X39" s="5"/>
      <c r="Y39" s="5"/>
    </row>
    <row r="40">
      <c r="A40" s="8">
        <v>45874.0</v>
      </c>
      <c r="B40" s="5" t="str">
        <f>IF('Jelenlét'!B40&gt;=1,'Jelenlét'!B40*'Jelenlét'!$Z40,"")</f>
        <v/>
      </c>
      <c r="C40" s="5" t="str">
        <f>IF('Jelenlét'!C40&gt;=1,'Jelenlét'!C40*'Jelenlét'!$Z40,"")</f>
        <v/>
      </c>
      <c r="D40" s="5">
        <f>IF('Jelenlét'!D40&gt;=1,'Jelenlét'!D40*'Jelenlét'!$Z40,"")</f>
        <v>7387.692308</v>
      </c>
      <c r="E40" s="5">
        <f>IF('Jelenlét'!E40&gt;=1,'Jelenlét'!E40*'Jelenlét'!$Z40,"")</f>
        <v>5540.769231</v>
      </c>
      <c r="F40" s="5">
        <f>IF('Jelenlét'!F40&gt;=1,'Jelenlét'!F40*'Jelenlét'!$Z40,"")</f>
        <v>1846.923077</v>
      </c>
      <c r="G40" s="5" t="str">
        <f>IF('Jelenlét'!G40&gt;=1,'Jelenlét'!G40*'Jelenlét'!$Z40,"")</f>
        <v/>
      </c>
      <c r="H40" s="5">
        <f>IF('Jelenlét'!H40&gt;=1,'Jelenlét'!H40*'Jelenlét'!$Z40,"")</f>
        <v>1846.923077</v>
      </c>
      <c r="I40" s="5" t="str">
        <f>IF('Jelenlét'!I40&gt;=1,'Jelenlét'!I40*'Jelenlét'!$Z40,"")</f>
        <v/>
      </c>
      <c r="J40" s="5">
        <f>IF('Jelenlét'!J40&gt;=1,'Jelenlét'!J40*'Jelenlét'!$Z40,"")</f>
        <v>1846.923077</v>
      </c>
      <c r="K40" s="5" t="str">
        <f>IF('Jelenlét'!K40&gt;=1,'Jelenlét'!K40*'Jelenlét'!$Z40,"")</f>
        <v/>
      </c>
      <c r="L40" s="5" t="str">
        <f>IF('Jelenlét'!L40&gt;=1,'Jelenlét'!L40*'Jelenlét'!$Z40,"")</f>
        <v/>
      </c>
      <c r="M40" s="5" t="str">
        <f>IF('Jelenlét'!M40&gt;=1,'Jelenlét'!M40*'Jelenlét'!$Z40,"")</f>
        <v/>
      </c>
      <c r="N40" s="5" t="str">
        <f>IF('Jelenlét'!N40&gt;=1,'Jelenlét'!N40*'Jelenlét'!$Z40,"")</f>
        <v/>
      </c>
      <c r="O40" s="5" t="str">
        <f>IF('Jelenlét'!O40&gt;=1,'Jelenlét'!O40*'Jelenlét'!$Z40,"")</f>
        <v/>
      </c>
      <c r="P40" s="5" t="str">
        <f>IF('Jelenlét'!P40&gt;=1,'Jelenlét'!P40*'Jelenlét'!$Z40,"")</f>
        <v/>
      </c>
      <c r="Q40" s="5">
        <f>IF('Jelenlét'!Q40&gt;=1,'Jelenlét'!Q40*'Jelenlét'!$Z40,"")</f>
        <v>1846.923077</v>
      </c>
      <c r="R40" s="5">
        <f>IF('Jelenlét'!R40&gt;=1,'Jelenlét'!R40*'Jelenlét'!$Z40,"")</f>
        <v>1846.923077</v>
      </c>
      <c r="S40" s="5" t="str">
        <f>IF('Jelenlét'!S40&gt;=1,'Jelenlét'!S40*'Jelenlét'!$Z40,"")</f>
        <v/>
      </c>
      <c r="T40" s="5">
        <f>IF('Jelenlét'!T40&gt;=1,'Jelenlét'!T40*'Jelenlét'!$Z40,"")</f>
        <v>1846.923077</v>
      </c>
      <c r="U40" s="5" t="str">
        <f>IF('Jelenlét'!U40&gt;=1,'Jelenlét'!U40*'Jelenlét'!$Z40,"")</f>
        <v/>
      </c>
      <c r="V40" s="5" t="str">
        <f>IF('Jelenlét'!V40&gt;=1,'Jelenlét'!V40*'Jelenlét'!$Z40,"")</f>
        <v/>
      </c>
    </row>
    <row r="41">
      <c r="A41" s="8">
        <v>45881.0</v>
      </c>
      <c r="B41" s="5" t="str">
        <f>IF('Jelenlét'!B41&gt;=1,'Jelenlét'!B41*'Jelenlét'!$Z41,"")</f>
        <v/>
      </c>
      <c r="C41" s="5" t="str">
        <f>IF('Jelenlét'!C41&gt;=1,'Jelenlét'!C41*'Jelenlét'!$Z41,"")</f>
        <v/>
      </c>
      <c r="D41" s="5" t="str">
        <f>IF('Jelenlét'!D41&gt;=1,'Jelenlét'!D41*'Jelenlét'!$Z41,"")</f>
        <v/>
      </c>
      <c r="E41" s="5" t="str">
        <f>IF('Jelenlét'!E41&gt;=1,'Jelenlét'!E41*'Jelenlét'!$Z41,"")</f>
        <v/>
      </c>
      <c r="F41" s="5">
        <f>IF('Jelenlét'!F41&gt;=1,'Jelenlét'!F41*'Jelenlét'!$Z41,"")</f>
        <v>2000.833333</v>
      </c>
      <c r="G41" s="5">
        <f>IF('Jelenlét'!G41&gt;=1,'Jelenlét'!G41*'Jelenlét'!$Z41,"")</f>
        <v>2000.833333</v>
      </c>
      <c r="H41" s="5">
        <f>IF('Jelenlét'!H41&gt;=1,'Jelenlét'!H41*'Jelenlét'!$Z41,"")</f>
        <v>2000.833333</v>
      </c>
      <c r="I41" s="5">
        <f>IF('Jelenlét'!I41&gt;=1,'Jelenlét'!I41*'Jelenlét'!$Z41,"")</f>
        <v>2000.833333</v>
      </c>
      <c r="J41" s="5" t="str">
        <f>IF('Jelenlét'!J41&gt;=1,'Jelenlét'!J41*'Jelenlét'!$Z41,"")</f>
        <v/>
      </c>
      <c r="K41" s="5" t="str">
        <f>IF('Jelenlét'!K41&gt;=1,'Jelenlét'!K41*'Jelenlét'!$Z41,"")</f>
        <v/>
      </c>
      <c r="L41" s="5" t="str">
        <f>IF('Jelenlét'!L41&gt;=1,'Jelenlét'!L41*'Jelenlét'!$Z41,"")</f>
        <v/>
      </c>
      <c r="M41" s="5" t="str">
        <f>IF('Jelenlét'!M41&gt;=1,'Jelenlét'!M41*'Jelenlét'!$Z41,"")</f>
        <v/>
      </c>
      <c r="N41" s="5" t="str">
        <f>IF('Jelenlét'!N41&gt;=1,'Jelenlét'!N41*'Jelenlét'!$Z41,"")</f>
        <v/>
      </c>
      <c r="O41" s="5" t="str">
        <f>IF('Jelenlét'!O41&gt;=1,'Jelenlét'!O41*'Jelenlét'!$Z41,"")</f>
        <v/>
      </c>
      <c r="P41" s="5" t="str">
        <f>IF('Jelenlét'!P41&gt;=1,'Jelenlét'!P41*'Jelenlét'!$Z41,"")</f>
        <v/>
      </c>
      <c r="Q41" s="5" t="str">
        <f>IF('Jelenlét'!Q41&gt;=1,'Jelenlét'!Q41*'Jelenlét'!$Z41,"")</f>
        <v/>
      </c>
      <c r="R41" s="5">
        <f>IF('Jelenlét'!R41&gt;=1,'Jelenlét'!R41*'Jelenlét'!$Z41,"")</f>
        <v>8003.333333</v>
      </c>
      <c r="S41" s="5">
        <f>IF('Jelenlét'!S41&gt;=1,'Jelenlét'!S41*'Jelenlét'!$Z41,"")</f>
        <v>4001.666667</v>
      </c>
      <c r="T41" s="5" t="str">
        <f>IF('Jelenlét'!T41&gt;=1,'Jelenlét'!T41*'Jelenlét'!$Z41,"")</f>
        <v/>
      </c>
      <c r="U41" s="5">
        <f>IF('Jelenlét'!U41&gt;=1,'Jelenlét'!U41*'Jelenlét'!$Z41,"")</f>
        <v>2000.833333</v>
      </c>
      <c r="V41" s="5">
        <f>IF('Jelenlét'!V41&gt;=1,'Jelenlét'!V41*'Jelenlét'!$Z41,"")</f>
        <v>2000.833333</v>
      </c>
    </row>
    <row r="42">
      <c r="A42" s="8">
        <v>45888.0</v>
      </c>
      <c r="B42" s="5" t="str">
        <f>IF('Jelenlét'!B42&gt;=1,'Jelenlét'!B42*'Jelenlét'!$Z42,"")</f>
        <v/>
      </c>
      <c r="C42" s="5" t="str">
        <f>IF('Jelenlét'!C42&gt;=1,'Jelenlét'!C42*'Jelenlét'!$Z42,"")</f>
        <v/>
      </c>
      <c r="D42" s="5" t="str">
        <f>IF('Jelenlét'!D42&gt;=1,'Jelenlét'!D42*'Jelenlét'!$Z42,"")</f>
        <v/>
      </c>
      <c r="E42" s="5" t="str">
        <f>IF('Jelenlét'!E42&gt;=1,'Jelenlét'!E42*'Jelenlét'!$Z42,"")</f>
        <v/>
      </c>
      <c r="F42" s="5" t="str">
        <f>IF('Jelenlét'!F42&gt;=1,'Jelenlét'!F42*'Jelenlét'!$Z42,"")</f>
        <v/>
      </c>
      <c r="G42" s="5" t="str">
        <f>IF('Jelenlét'!G42&gt;=1,'Jelenlét'!G42*'Jelenlét'!$Z42,"")</f>
        <v/>
      </c>
      <c r="H42" s="5" t="str">
        <f>IF('Jelenlét'!H42&gt;=1,'Jelenlét'!H42*'Jelenlét'!$Z42,"")</f>
        <v/>
      </c>
      <c r="I42" s="5" t="str">
        <f>IF('Jelenlét'!I42&gt;=1,'Jelenlét'!I42*'Jelenlét'!$Z42,"")</f>
        <v/>
      </c>
      <c r="J42" s="5" t="str">
        <f>IF('Jelenlét'!J42&gt;=1,'Jelenlét'!J42*'Jelenlét'!$Z42,"")</f>
        <v/>
      </c>
      <c r="K42" s="5" t="str">
        <f>IF('Jelenlét'!K42&gt;=1,'Jelenlét'!K42*'Jelenlét'!$Z42,"")</f>
        <v/>
      </c>
      <c r="L42" s="5" t="str">
        <f>IF('Jelenlét'!L42&gt;=1,'Jelenlét'!L42*'Jelenlét'!$Z42,"")</f>
        <v/>
      </c>
      <c r="M42" s="5" t="str">
        <f>IF('Jelenlét'!M42&gt;=1,'Jelenlét'!M42*'Jelenlét'!$Z42,"")</f>
        <v/>
      </c>
      <c r="N42" s="5" t="str">
        <f>IF('Jelenlét'!N42&gt;=1,'Jelenlét'!N42*'Jelenlét'!$Z42,"")</f>
        <v/>
      </c>
      <c r="O42" s="5" t="str">
        <f>IF('Jelenlét'!O42&gt;=1,'Jelenlét'!O42*'Jelenlét'!$Z42,"")</f>
        <v/>
      </c>
      <c r="P42" s="5" t="str">
        <f>IF('Jelenlét'!P42&gt;=1,'Jelenlét'!P42*'Jelenlét'!$Z42,"")</f>
        <v/>
      </c>
      <c r="Q42" s="5" t="str">
        <f>IF('Jelenlét'!Q42&gt;=1,'Jelenlét'!Q42*'Jelenlét'!$Z42,"")</f>
        <v/>
      </c>
      <c r="R42" s="5" t="str">
        <f>IF('Jelenlét'!R42&gt;=1,'Jelenlét'!R42*'Jelenlét'!$Z42,"")</f>
        <v/>
      </c>
      <c r="S42" s="5" t="str">
        <f>IF('Jelenlét'!S42&gt;=1,'Jelenlét'!S42*'Jelenlét'!$Z42,"")</f>
        <v/>
      </c>
      <c r="T42" s="5" t="str">
        <f>IF('Jelenlét'!T42&gt;=1,'Jelenlét'!T42*'Jelenlét'!$Z42,"")</f>
        <v/>
      </c>
      <c r="U42" s="5" t="str">
        <f>IF('Jelenlét'!U42&gt;=1,'Jelenlét'!U42*'Jelenlét'!$Z42,"")</f>
        <v/>
      </c>
      <c r="V42" s="5" t="str">
        <f>IF('Jelenlét'!V42&gt;=1,'Jelenlét'!V42*'Jelenlét'!$Z42,"")</f>
        <v/>
      </c>
    </row>
    <row r="43">
      <c r="A43" s="8">
        <v>45895.0</v>
      </c>
      <c r="B43" s="5" t="str">
        <f>IF('Jelenlét'!B43&gt;=1,'Jelenlét'!B43*'Jelenlét'!$Z43,"")</f>
        <v/>
      </c>
      <c r="C43" s="5" t="str">
        <f>IF('Jelenlét'!C43&gt;=1,'Jelenlét'!C43*'Jelenlét'!$Z43,"")</f>
        <v/>
      </c>
      <c r="D43" s="5" t="str">
        <f>IF('Jelenlét'!D43&gt;=1,'Jelenlét'!D43*'Jelenlét'!$Z43,"")</f>
        <v/>
      </c>
      <c r="E43" s="5" t="str">
        <f>IF('Jelenlét'!E43&gt;=1,'Jelenlét'!E43*'Jelenlét'!$Z43,"")</f>
        <v/>
      </c>
      <c r="F43" s="5" t="str">
        <f>IF('Jelenlét'!F43&gt;=1,'Jelenlét'!F43*'Jelenlét'!$Z43,"")</f>
        <v/>
      </c>
      <c r="G43" s="5">
        <f>IF('Jelenlét'!G43&gt;=1,'Jelenlét'!G43*'Jelenlét'!$Z43,"")</f>
        <v>2000.833333</v>
      </c>
      <c r="H43" s="5" t="str">
        <f>IF('Jelenlét'!H43&gt;=1,'Jelenlét'!H43*'Jelenlét'!$Z43,"")</f>
        <v/>
      </c>
      <c r="I43" s="5">
        <f>IF('Jelenlét'!I43&gt;=1,'Jelenlét'!I43*'Jelenlét'!$Z43,"")</f>
        <v>2000.833333</v>
      </c>
      <c r="J43" s="5" t="str">
        <f>IF('Jelenlét'!J43&gt;=1,'Jelenlét'!J43*'Jelenlét'!$Z43,"")</f>
        <v/>
      </c>
      <c r="K43" s="5" t="str">
        <f>IF('Jelenlét'!K43&gt;=1,'Jelenlét'!K43*'Jelenlét'!$Z43,"")</f>
        <v/>
      </c>
      <c r="L43" s="5" t="str">
        <f>IF('Jelenlét'!L43&gt;=1,'Jelenlét'!L43*'Jelenlét'!$Z43,"")</f>
        <v/>
      </c>
      <c r="M43" s="5" t="str">
        <f>IF('Jelenlét'!M43&gt;=1,'Jelenlét'!M43*'Jelenlét'!$Z43,"")</f>
        <v/>
      </c>
      <c r="N43" s="5" t="str">
        <f>IF('Jelenlét'!N43&gt;=1,'Jelenlét'!N43*'Jelenlét'!$Z43,"")</f>
        <v/>
      </c>
      <c r="O43" s="5" t="str">
        <f>IF('Jelenlét'!O43&gt;=1,'Jelenlét'!O43*'Jelenlét'!$Z43,"")</f>
        <v/>
      </c>
      <c r="P43" s="5" t="str">
        <f>IF('Jelenlét'!P43&gt;=1,'Jelenlét'!P43*'Jelenlét'!$Z43,"")</f>
        <v/>
      </c>
      <c r="Q43" s="5" t="str">
        <f>IF('Jelenlét'!Q43&gt;=1,'Jelenlét'!Q43*'Jelenlét'!$Z43,"")</f>
        <v/>
      </c>
      <c r="R43" s="5">
        <f>IF('Jelenlét'!R43&gt;=1,'Jelenlét'!R43*'Jelenlét'!$Z43,"")</f>
        <v>12005</v>
      </c>
      <c r="S43" s="5">
        <f>IF('Jelenlét'!S43&gt;=1,'Jelenlét'!S43*'Jelenlét'!$Z43,"")</f>
        <v>6002.5</v>
      </c>
      <c r="T43" s="5" t="str">
        <f>IF('Jelenlét'!T43&gt;=1,'Jelenlét'!T43*'Jelenlét'!$Z43,"")</f>
        <v/>
      </c>
      <c r="U43" s="5">
        <f>IF('Jelenlét'!U43&gt;=1,'Jelenlét'!U43*'Jelenlét'!$Z43,"")</f>
        <v>2000.833333</v>
      </c>
      <c r="V43" s="5" t="str">
        <f>IF('Jelenlét'!V43&gt;=1,'Jelenlét'!V43*'Jelenlét'!$Z43,"")</f>
        <v/>
      </c>
    </row>
    <row r="44">
      <c r="A44" s="8">
        <v>45902.0</v>
      </c>
      <c r="B44" s="5" t="str">
        <f>IF('Jelenlét'!B44&gt;=1,'Jelenlét'!B44*'Jelenlét'!$Z44,"")</f>
        <v/>
      </c>
      <c r="C44" s="5">
        <f>IF('Jelenlét'!C44&gt;=1,'Jelenlét'!C44*'Jelenlét'!$Z44,"")</f>
        <v>2082.666667</v>
      </c>
      <c r="D44" s="5">
        <f>IF('Jelenlét'!D44&gt;=1,'Jelenlét'!D44*'Jelenlét'!$Z44,"")</f>
        <v>2082.666667</v>
      </c>
      <c r="E44" s="5" t="str">
        <f>IF('Jelenlét'!E44&gt;=1,'Jelenlét'!E44*'Jelenlét'!$Z44,"")</f>
        <v/>
      </c>
      <c r="F44" s="5" t="str">
        <f>IF('Jelenlét'!F44&gt;=1,'Jelenlét'!F44*'Jelenlét'!$Z44,"")</f>
        <v/>
      </c>
      <c r="G44" s="5">
        <f>IF('Jelenlét'!G44&gt;=1,'Jelenlét'!G44*'Jelenlét'!$Z44,"")</f>
        <v>2082.666667</v>
      </c>
      <c r="H44" s="5" t="str">
        <f>IF('Jelenlét'!H44&gt;=1,'Jelenlét'!H44*'Jelenlét'!$Z44,"")</f>
        <v/>
      </c>
      <c r="I44" s="5">
        <f>IF('Jelenlét'!I44&gt;=1,'Jelenlét'!I44*'Jelenlét'!$Z44,"")</f>
        <v>2082.666667</v>
      </c>
      <c r="J44" s="5">
        <f>IF('Jelenlét'!J44&gt;=1,'Jelenlét'!J44*'Jelenlét'!$Z44,"")</f>
        <v>2082.666667</v>
      </c>
      <c r="K44" s="5" t="str">
        <f>IF('Jelenlét'!K44&gt;=1,'Jelenlét'!K44*'Jelenlét'!$Z44,"")</f>
        <v/>
      </c>
      <c r="L44" s="5" t="str">
        <f>IF('Jelenlét'!L44&gt;=1,'Jelenlét'!L44*'Jelenlét'!$Z44,"")</f>
        <v/>
      </c>
      <c r="M44" s="5" t="str">
        <f>IF('Jelenlét'!M44&gt;=1,'Jelenlét'!M44*'Jelenlét'!$Z44,"")</f>
        <v/>
      </c>
      <c r="N44" s="5" t="str">
        <f>IF('Jelenlét'!N44&gt;=1,'Jelenlét'!N44*'Jelenlét'!$Z44,"")</f>
        <v/>
      </c>
      <c r="O44" s="5" t="str">
        <f>IF('Jelenlét'!O44&gt;=1,'Jelenlét'!O44*'Jelenlét'!$Z44,"")</f>
        <v/>
      </c>
      <c r="P44" s="5" t="str">
        <f>IF('Jelenlét'!P44&gt;=1,'Jelenlét'!P44*'Jelenlét'!$Z44,"")</f>
        <v/>
      </c>
      <c r="Q44" s="5" t="str">
        <f>IF('Jelenlét'!Q44&gt;=1,'Jelenlét'!Q44*'Jelenlét'!$Z44,"")</f>
        <v/>
      </c>
      <c r="R44" s="5">
        <f>IF('Jelenlét'!R44&gt;=1,'Jelenlét'!R44*'Jelenlét'!$Z44,"")</f>
        <v>8330.666667</v>
      </c>
      <c r="S44" s="5">
        <f>IF('Jelenlét'!S44&gt;=1,'Jelenlét'!S44*'Jelenlét'!$Z44,"")</f>
        <v>4165.333333</v>
      </c>
      <c r="T44" s="5" t="str">
        <f>IF('Jelenlét'!T44&gt;=1,'Jelenlét'!T44*'Jelenlét'!$Z44,"")</f>
        <v/>
      </c>
      <c r="U44" s="5" t="str">
        <f>IF('Jelenlét'!U44&gt;=1,'Jelenlét'!U44*'Jelenlét'!$Z44,"")</f>
        <v/>
      </c>
      <c r="V44" s="5">
        <f>IF('Jelenlét'!V44&gt;=1,'Jelenlét'!V44*'Jelenlét'!$Z44,"")</f>
        <v>2082.666667</v>
      </c>
    </row>
    <row r="45">
      <c r="A45" s="8">
        <v>45909.0</v>
      </c>
      <c r="B45" s="5" t="str">
        <f>IF('Jelenlét'!B45&gt;=1,'Jelenlét'!B45*'Jelenlét'!$Z45,"")</f>
        <v/>
      </c>
      <c r="C45" s="5" t="str">
        <f>IF('Jelenlét'!C45&gt;=1,'Jelenlét'!C45*'Jelenlét'!$Z45,"")</f>
        <v/>
      </c>
      <c r="D45" s="5">
        <f>IF('Jelenlét'!D45&gt;=1,'Jelenlét'!D45*'Jelenlét'!$Z45,"")</f>
        <v>2272</v>
      </c>
      <c r="E45" s="5" t="str">
        <f>IF('Jelenlét'!E45&gt;=1,'Jelenlét'!E45*'Jelenlét'!$Z45,"")</f>
        <v/>
      </c>
      <c r="F45" s="5">
        <f>IF('Jelenlét'!F45&gt;=1,'Jelenlét'!F45*'Jelenlét'!$Z45,"")</f>
        <v>2272</v>
      </c>
      <c r="G45" s="5">
        <f>IF('Jelenlét'!G45&gt;=1,'Jelenlét'!G45*'Jelenlét'!$Z45,"")</f>
        <v>2272</v>
      </c>
      <c r="H45" s="5" t="str">
        <f>IF('Jelenlét'!H45&gt;=1,'Jelenlét'!H45*'Jelenlét'!$Z45,"")</f>
        <v/>
      </c>
      <c r="I45" s="5">
        <f>IF('Jelenlét'!I45&gt;=1,'Jelenlét'!I45*'Jelenlét'!$Z45,"")</f>
        <v>2272</v>
      </c>
      <c r="J45" s="5">
        <f>IF('Jelenlét'!J45&gt;=1,'Jelenlét'!J45*'Jelenlét'!$Z45,"")</f>
        <v>2272</v>
      </c>
      <c r="K45" s="5" t="str">
        <f>IF('Jelenlét'!K45&gt;=1,'Jelenlét'!K45*'Jelenlét'!$Z45,"")</f>
        <v/>
      </c>
      <c r="L45" s="5" t="str">
        <f>IF('Jelenlét'!L45&gt;=1,'Jelenlét'!L45*'Jelenlét'!$Z45,"")</f>
        <v/>
      </c>
      <c r="M45" s="5" t="str">
        <f>IF('Jelenlét'!M45&gt;=1,'Jelenlét'!M45*'Jelenlét'!$Z45,"")</f>
        <v/>
      </c>
      <c r="N45" s="5" t="str">
        <f>IF('Jelenlét'!N45&gt;=1,'Jelenlét'!N45*'Jelenlét'!$Z45,"")</f>
        <v/>
      </c>
      <c r="O45" s="5" t="str">
        <f>IF('Jelenlét'!O45&gt;=1,'Jelenlét'!O45*'Jelenlét'!$Z45,"")</f>
        <v/>
      </c>
      <c r="P45" s="5" t="str">
        <f>IF('Jelenlét'!P45&gt;=1,'Jelenlét'!P45*'Jelenlét'!$Z45,"")</f>
        <v/>
      </c>
      <c r="Q45" s="5" t="str">
        <f>IF('Jelenlét'!Q45&gt;=1,'Jelenlét'!Q45*'Jelenlét'!$Z45,"")</f>
        <v/>
      </c>
      <c r="R45" s="5">
        <f>IF('Jelenlét'!R45&gt;=1,'Jelenlét'!R45*'Jelenlét'!$Z45,"")</f>
        <v>4544</v>
      </c>
      <c r="S45" s="5">
        <f>IF('Jelenlét'!S45&gt;=1,'Jelenlét'!S45*'Jelenlét'!$Z45,"")</f>
        <v>4544</v>
      </c>
      <c r="T45" s="5" t="str">
        <f>IF('Jelenlét'!T45&gt;=1,'Jelenlét'!T45*'Jelenlét'!$Z45,"")</f>
        <v/>
      </c>
      <c r="U45" s="5">
        <f>IF('Jelenlét'!U45&gt;=1,'Jelenlét'!U45*'Jelenlét'!$Z45,"")</f>
        <v>2272</v>
      </c>
      <c r="V45" s="5">
        <f>IF('Jelenlét'!V45&gt;=1,'Jelenlét'!V45*'Jelenlét'!$Z45,"")</f>
        <v>2272</v>
      </c>
    </row>
    <row r="46">
      <c r="A46" s="8">
        <v>45916.0</v>
      </c>
      <c r="B46" s="5" t="str">
        <f>IF('Jelenlét'!B46&gt;=1,'Jelenlét'!B46*'Jelenlét'!$Z46,"")</f>
        <v/>
      </c>
      <c r="C46" s="5" t="str">
        <f>IF('Jelenlét'!C46&gt;=1,'Jelenlét'!C46*'Jelenlét'!$Z46,"")</f>
        <v/>
      </c>
      <c r="D46" s="5">
        <f>IF('Jelenlét'!D46&gt;=1,'Jelenlét'!D46*'Jelenlét'!$Z46,"")</f>
        <v>1785.142857</v>
      </c>
      <c r="E46" s="5">
        <f>IF('Jelenlét'!E46&gt;=1,'Jelenlét'!E46*'Jelenlét'!$Z46,"")</f>
        <v>3570.285714</v>
      </c>
      <c r="F46" s="5" t="str">
        <f>IF('Jelenlét'!F46&gt;=1,'Jelenlét'!F46*'Jelenlét'!$Z46,"")</f>
        <v/>
      </c>
      <c r="G46" s="5">
        <f>IF('Jelenlét'!G46&gt;=1,'Jelenlét'!G46*'Jelenlét'!$Z46,"")</f>
        <v>3570.285714</v>
      </c>
      <c r="H46" s="5">
        <f>IF('Jelenlét'!H46&gt;=1,'Jelenlét'!H46*'Jelenlét'!$Z46,"")</f>
        <v>1785.142857</v>
      </c>
      <c r="I46" s="5">
        <f>IF('Jelenlét'!I46&gt;=1,'Jelenlét'!I46*'Jelenlét'!$Z46,"")</f>
        <v>1785.142857</v>
      </c>
      <c r="J46" s="5">
        <f>IF('Jelenlét'!J46&gt;=1,'Jelenlét'!J46*'Jelenlét'!$Z46,"")</f>
        <v>1785.142857</v>
      </c>
      <c r="K46" s="5" t="str">
        <f>IF('Jelenlét'!K46&gt;=1,'Jelenlét'!K46*'Jelenlét'!$Z46,"")</f>
        <v/>
      </c>
      <c r="L46" s="5" t="str">
        <f>IF('Jelenlét'!L46&gt;=1,'Jelenlét'!L46*'Jelenlét'!$Z46,"")</f>
        <v/>
      </c>
      <c r="M46" s="5" t="str">
        <f>IF('Jelenlét'!M46&gt;=1,'Jelenlét'!M46*'Jelenlét'!$Z46,"")</f>
        <v/>
      </c>
      <c r="N46" s="5" t="str">
        <f>IF('Jelenlét'!N46&gt;=1,'Jelenlét'!N46*'Jelenlét'!$Z46,"")</f>
        <v/>
      </c>
      <c r="O46" s="5" t="str">
        <f>IF('Jelenlét'!O46&gt;=1,'Jelenlét'!O46*'Jelenlét'!$Z46,"")</f>
        <v/>
      </c>
      <c r="P46" s="5" t="str">
        <f>IF('Jelenlét'!P46&gt;=1,'Jelenlét'!P46*'Jelenlét'!$Z46,"")</f>
        <v/>
      </c>
      <c r="Q46" s="5">
        <f>IF('Jelenlét'!Q46&gt;=1,'Jelenlét'!Q46*'Jelenlét'!$Z46,"")</f>
        <v>1785.142857</v>
      </c>
      <c r="R46" s="5">
        <f>IF('Jelenlét'!R46&gt;=1,'Jelenlét'!R46*'Jelenlét'!$Z46,"")</f>
        <v>3570.285714</v>
      </c>
      <c r="S46" s="5">
        <f>IF('Jelenlét'!S46&gt;=1,'Jelenlét'!S46*'Jelenlét'!$Z46,"")</f>
        <v>3570.285714</v>
      </c>
      <c r="T46" s="5" t="str">
        <f>IF('Jelenlét'!T46&gt;=1,'Jelenlét'!T46*'Jelenlét'!$Z46,"")</f>
        <v/>
      </c>
      <c r="U46" s="5" t="str">
        <f>IF('Jelenlét'!U46&gt;=1,'Jelenlét'!U46*'Jelenlét'!$Z46,"")</f>
        <v/>
      </c>
      <c r="V46" s="5">
        <f>IF('Jelenlét'!V46&gt;=1,'Jelenlét'!V46*'Jelenlét'!$Z46,"")</f>
        <v>1785.142857</v>
      </c>
    </row>
    <row r="47">
      <c r="A47" s="8">
        <v>45923.0</v>
      </c>
      <c r="B47" s="5" t="str">
        <f>IF('Jelenlét'!B47&gt;=1,'Jelenlét'!B47*'Jelenlét'!$Z47,"")</f>
        <v/>
      </c>
      <c r="C47" s="5">
        <f>IF('Jelenlét'!C47&gt;=1,'Jelenlét'!C47*'Jelenlét'!$Z47,"")</f>
        <v>1785.142857</v>
      </c>
      <c r="D47" s="5">
        <f>IF('Jelenlét'!D47&gt;=1,'Jelenlét'!D47*'Jelenlét'!$Z47,"")</f>
        <v>1785.142857</v>
      </c>
      <c r="E47" s="5">
        <f>IF('Jelenlét'!E47&gt;=1,'Jelenlét'!E47*'Jelenlét'!$Z47,"")</f>
        <v>3570.285714</v>
      </c>
      <c r="F47" s="5">
        <f>IF('Jelenlét'!F47&gt;=1,'Jelenlét'!F47*'Jelenlét'!$Z47,"")</f>
        <v>1785.142857</v>
      </c>
      <c r="G47" s="5">
        <f>IF('Jelenlét'!G47&gt;=1,'Jelenlét'!G47*'Jelenlét'!$Z47,"")</f>
        <v>3570.285714</v>
      </c>
      <c r="H47" s="5">
        <f>IF('Jelenlét'!H47&gt;=1,'Jelenlét'!H47*'Jelenlét'!$Z47,"")</f>
        <v>1785.142857</v>
      </c>
      <c r="I47" s="5">
        <f>IF('Jelenlét'!I47&gt;=1,'Jelenlét'!I47*'Jelenlét'!$Z47,"")</f>
        <v>1785.142857</v>
      </c>
      <c r="J47" s="5">
        <f>IF('Jelenlét'!J47&gt;=1,'Jelenlét'!J47*'Jelenlét'!$Z47,"")</f>
        <v>1785.142857</v>
      </c>
      <c r="K47" s="5" t="str">
        <f>IF('Jelenlét'!K47&gt;=1,'Jelenlét'!K47*'Jelenlét'!$Z47,"")</f>
        <v/>
      </c>
      <c r="L47" s="5" t="str">
        <f>IF('Jelenlét'!L47&gt;=1,'Jelenlét'!L47*'Jelenlét'!$Z47,"")</f>
        <v/>
      </c>
      <c r="M47" s="5" t="str">
        <f>IF('Jelenlét'!M47&gt;=1,'Jelenlét'!M47*'Jelenlét'!$Z47,"")</f>
        <v/>
      </c>
      <c r="N47" s="5" t="str">
        <f>IF('Jelenlét'!N47&gt;=1,'Jelenlét'!N47*'Jelenlét'!$Z47,"")</f>
        <v/>
      </c>
      <c r="O47" s="5" t="str">
        <f>IF('Jelenlét'!O47&gt;=1,'Jelenlét'!O47*'Jelenlét'!$Z47,"")</f>
        <v/>
      </c>
      <c r="P47" s="5" t="str">
        <f>IF('Jelenlét'!P47&gt;=1,'Jelenlét'!P47*'Jelenlét'!$Z47,"")</f>
        <v/>
      </c>
      <c r="Q47" s="5" t="str">
        <f>IF('Jelenlét'!Q47&gt;=1,'Jelenlét'!Q47*'Jelenlét'!$Z47,"")</f>
        <v/>
      </c>
      <c r="R47" s="5">
        <f>IF('Jelenlét'!R47&gt;=1,'Jelenlét'!R47*'Jelenlét'!$Z47,"")</f>
        <v>1785.142857</v>
      </c>
      <c r="S47" s="5">
        <f>IF('Jelenlét'!S47&gt;=1,'Jelenlét'!S47*'Jelenlét'!$Z47,"")</f>
        <v>1785.142857</v>
      </c>
      <c r="T47" s="5" t="str">
        <f>IF('Jelenlét'!T47&gt;=1,'Jelenlét'!T47*'Jelenlét'!$Z47,"")</f>
        <v/>
      </c>
      <c r="U47" s="5">
        <f>IF('Jelenlét'!U47&gt;=1,'Jelenlét'!U47*'Jelenlét'!$Z47,"")</f>
        <v>1785.142857</v>
      </c>
      <c r="V47" s="5">
        <f>IF('Jelenlét'!V47&gt;=1,'Jelenlét'!V47*'Jelenlét'!$Z47,"")</f>
        <v>1785.142857</v>
      </c>
    </row>
    <row r="48">
      <c r="A48" s="8">
        <v>45930.0</v>
      </c>
      <c r="B48" s="5" t="str">
        <f>IF('Jelenlét'!B48&gt;=1,'Jelenlét'!B48*'Jelenlét'!$Z48,"")</f>
        <v/>
      </c>
      <c r="C48" s="5" t="str">
        <f>IF('Jelenlét'!C48&gt;=1,'Jelenlét'!C48*'Jelenlét'!$Z48,"")</f>
        <v/>
      </c>
      <c r="D48" s="5">
        <f>IF('Jelenlét'!D48&gt;=1,'Jelenlét'!D48*'Jelenlét'!$Z48,"")</f>
        <v>1666.133333</v>
      </c>
      <c r="E48" s="5" t="str">
        <f>IF('Jelenlét'!E48&gt;=1,'Jelenlét'!E48*'Jelenlét'!$Z48,"")</f>
        <v/>
      </c>
      <c r="F48" s="5">
        <f>IF('Jelenlét'!F48&gt;=1,'Jelenlét'!F48*'Jelenlét'!$Z48,"")</f>
        <v>1666.133333</v>
      </c>
      <c r="G48" s="5">
        <f>IF('Jelenlét'!G48&gt;=1,'Jelenlét'!G48*'Jelenlét'!$Z48,"")</f>
        <v>1666.133333</v>
      </c>
      <c r="H48" s="5">
        <f>IF('Jelenlét'!H48&gt;=1,'Jelenlét'!H48*'Jelenlét'!$Z48,"")</f>
        <v>1666.133333</v>
      </c>
      <c r="I48" s="5">
        <f>IF('Jelenlét'!I48&gt;=1,'Jelenlét'!I48*'Jelenlét'!$Z48,"")</f>
        <v>1666.133333</v>
      </c>
      <c r="J48" s="5">
        <f>IF('Jelenlét'!J48&gt;=1,'Jelenlét'!J48*'Jelenlét'!$Z48,"")</f>
        <v>1666.133333</v>
      </c>
      <c r="K48" s="5" t="str">
        <f>IF('Jelenlét'!K48&gt;=1,'Jelenlét'!K48*'Jelenlét'!$Z48,"")</f>
        <v/>
      </c>
      <c r="L48" s="5" t="str">
        <f>IF('Jelenlét'!L48&gt;=1,'Jelenlét'!L48*'Jelenlét'!$Z48,"")</f>
        <v/>
      </c>
      <c r="M48" s="5" t="str">
        <f>IF('Jelenlét'!M48&gt;=1,'Jelenlét'!M48*'Jelenlét'!$Z48,"")</f>
        <v/>
      </c>
      <c r="N48" s="5" t="str">
        <f>IF('Jelenlét'!N48&gt;=1,'Jelenlét'!N48*'Jelenlét'!$Z48,"")</f>
        <v/>
      </c>
      <c r="O48" s="5" t="str">
        <f>IF('Jelenlét'!O48&gt;=1,'Jelenlét'!O48*'Jelenlét'!$Z48,"")</f>
        <v/>
      </c>
      <c r="P48" s="5" t="str">
        <f>IF('Jelenlét'!P48&gt;=1,'Jelenlét'!P48*'Jelenlét'!$Z48,"")</f>
        <v/>
      </c>
      <c r="Q48" s="5" t="str">
        <f>IF('Jelenlét'!Q48&gt;=1,'Jelenlét'!Q48*'Jelenlét'!$Z48,"")</f>
        <v/>
      </c>
      <c r="R48" s="5">
        <f>IF('Jelenlét'!R48&gt;=1,'Jelenlét'!R48*'Jelenlét'!$Z48,"")</f>
        <v>4998.4</v>
      </c>
      <c r="S48" s="5">
        <f>IF('Jelenlét'!S48&gt;=1,'Jelenlét'!S48*'Jelenlét'!$Z48,"")</f>
        <v>1666.133333</v>
      </c>
      <c r="T48" s="5">
        <f>IF('Jelenlét'!T48&gt;=1,'Jelenlét'!T48*'Jelenlét'!$Z48,"")</f>
        <v>1666.133333</v>
      </c>
      <c r="U48" s="5">
        <f>IF('Jelenlét'!U48&gt;=1,'Jelenlét'!U48*'Jelenlét'!$Z48,"")</f>
        <v>1666.133333</v>
      </c>
      <c r="V48" s="5">
        <f>IF('Jelenlét'!V48&gt;=1,'Jelenlét'!V48*'Jelenlét'!$Z48,"")</f>
        <v>4998.4</v>
      </c>
    </row>
    <row r="49">
      <c r="A49" s="8">
        <v>45937.0</v>
      </c>
      <c r="B49" s="5" t="str">
        <f>IF('Jelenlét'!B49&gt;=1,'Jelenlét'!B49*'Jelenlét'!$Z49,"")</f>
        <v/>
      </c>
      <c r="C49" s="5">
        <f>IF('Jelenlét'!C49&gt;=1,'Jelenlét'!C49*'Jelenlét'!$Z49,"")</f>
        <v>1780</v>
      </c>
      <c r="D49" s="5">
        <f>IF('Jelenlét'!D49&gt;=1,'Jelenlét'!D49*'Jelenlét'!$Z49,"")</f>
        <v>1780</v>
      </c>
      <c r="E49" s="5" t="str">
        <f>IF('Jelenlét'!E49&gt;=1,'Jelenlét'!E49*'Jelenlét'!$Z49,"")</f>
        <v/>
      </c>
      <c r="F49" s="5">
        <f>IF('Jelenlét'!F49&gt;=1,'Jelenlét'!F49*'Jelenlét'!$Z49,"")</f>
        <v>3560</v>
      </c>
      <c r="G49" s="5">
        <f>IF('Jelenlét'!G49&gt;=1,'Jelenlét'!G49*'Jelenlét'!$Z49,"")</f>
        <v>1780</v>
      </c>
      <c r="H49" s="5">
        <f>IF('Jelenlét'!H49&gt;=1,'Jelenlét'!H49*'Jelenlét'!$Z49,"")</f>
        <v>1780</v>
      </c>
      <c r="I49" s="5">
        <f>IF('Jelenlét'!I49&gt;=1,'Jelenlét'!I49*'Jelenlét'!$Z49,"")</f>
        <v>1780</v>
      </c>
      <c r="J49" s="5">
        <f>IF('Jelenlét'!J49&gt;=1,'Jelenlét'!J49*'Jelenlét'!$Z49,"")</f>
        <v>1780</v>
      </c>
      <c r="K49" s="5" t="str">
        <f>IF('Jelenlét'!K49&gt;=1,'Jelenlét'!K49*'Jelenlét'!$Z49,"")</f>
        <v/>
      </c>
      <c r="L49" s="5" t="str">
        <f>IF('Jelenlét'!L49&gt;=1,'Jelenlét'!L49*'Jelenlét'!$Z49,"")</f>
        <v/>
      </c>
      <c r="M49" s="5" t="str">
        <f>IF('Jelenlét'!M49&gt;=1,'Jelenlét'!M49*'Jelenlét'!$Z49,"")</f>
        <v/>
      </c>
      <c r="N49" s="5" t="str">
        <f>IF('Jelenlét'!N49&gt;=1,'Jelenlét'!N49*'Jelenlét'!$Z49,"")</f>
        <v/>
      </c>
      <c r="O49" s="5" t="str">
        <f>IF('Jelenlét'!O49&gt;=1,'Jelenlét'!O49*'Jelenlét'!$Z49,"")</f>
        <v/>
      </c>
      <c r="P49" s="5" t="str">
        <f>IF('Jelenlét'!P49&gt;=1,'Jelenlét'!P49*'Jelenlét'!$Z49,"")</f>
        <v/>
      </c>
      <c r="Q49" s="5" t="str">
        <f>IF('Jelenlét'!Q49&gt;=1,'Jelenlét'!Q49*'Jelenlét'!$Z49,"")</f>
        <v/>
      </c>
      <c r="R49" s="5">
        <f>IF('Jelenlét'!R49&gt;=1,'Jelenlét'!R49*'Jelenlét'!$Z49,"")</f>
        <v>1780</v>
      </c>
      <c r="S49" s="5">
        <f>IF('Jelenlét'!S49&gt;=1,'Jelenlét'!S49*'Jelenlét'!$Z49,"")</f>
        <v>3560</v>
      </c>
      <c r="T49" s="5">
        <f>IF('Jelenlét'!T49&gt;=1,'Jelenlét'!T49*'Jelenlét'!$Z49,"")</f>
        <v>1780</v>
      </c>
      <c r="U49" s="5">
        <f>IF('Jelenlét'!U49&gt;=1,'Jelenlét'!U49*'Jelenlét'!$Z49,"")</f>
        <v>1780</v>
      </c>
      <c r="V49" s="5">
        <f>IF('Jelenlét'!V49&gt;=1,'Jelenlét'!V49*'Jelenlét'!$Z49,"")</f>
        <v>1780</v>
      </c>
    </row>
    <row r="50">
      <c r="A50" s="8">
        <v>45944.0</v>
      </c>
      <c r="B50" s="5" t="str">
        <f>IF('Jelenlét'!B50&gt;=1,'Jelenlét'!B50*'Jelenlét'!$Z50,"")</f>
        <v/>
      </c>
      <c r="C50" s="5" t="str">
        <f>IF('Jelenlét'!C50&gt;=1,'Jelenlét'!C50*'Jelenlét'!$Z50,"")</f>
        <v/>
      </c>
      <c r="D50" s="5" t="str">
        <f>IF('Jelenlét'!D50&gt;=1,'Jelenlét'!D50*'Jelenlét'!$Z50,"")</f>
        <v/>
      </c>
      <c r="E50" s="5" t="str">
        <f>IF('Jelenlét'!E50&gt;=1,'Jelenlét'!E50*'Jelenlét'!$Z50,"")</f>
        <v/>
      </c>
      <c r="F50" s="5">
        <f>IF('Jelenlét'!F50&gt;=1,'Jelenlét'!F50*'Jelenlét'!$Z50,"")</f>
        <v>4984</v>
      </c>
      <c r="G50" s="5">
        <f>IF('Jelenlét'!G50&gt;=1,'Jelenlét'!G50*'Jelenlét'!$Z50,"")</f>
        <v>2492</v>
      </c>
      <c r="H50" s="5" t="str">
        <f>IF('Jelenlét'!H50&gt;=1,'Jelenlét'!H50*'Jelenlét'!$Z50,"")</f>
        <v/>
      </c>
      <c r="I50" s="5">
        <f>IF('Jelenlét'!I50&gt;=1,'Jelenlét'!I50*'Jelenlét'!$Z50,"")</f>
        <v>2492</v>
      </c>
      <c r="J50" s="5" t="str">
        <f>IF('Jelenlét'!J50&gt;=1,'Jelenlét'!J50*'Jelenlét'!$Z50,"")</f>
        <v/>
      </c>
      <c r="K50" s="5" t="str">
        <f>IF('Jelenlét'!K50&gt;=1,'Jelenlét'!K50*'Jelenlét'!$Z50,"")</f>
        <v/>
      </c>
      <c r="L50" s="5" t="str">
        <f>IF('Jelenlét'!L50&gt;=1,'Jelenlét'!L50*'Jelenlét'!$Z50,"")</f>
        <v/>
      </c>
      <c r="M50" s="5" t="str">
        <f>IF('Jelenlét'!M50&gt;=1,'Jelenlét'!M50*'Jelenlét'!$Z50,"")</f>
        <v/>
      </c>
      <c r="N50" s="5" t="str">
        <f>IF('Jelenlét'!N50&gt;=1,'Jelenlét'!N50*'Jelenlét'!$Z50,"")</f>
        <v/>
      </c>
      <c r="O50" s="5" t="str">
        <f>IF('Jelenlét'!O50&gt;=1,'Jelenlét'!O50*'Jelenlét'!$Z50,"")</f>
        <v/>
      </c>
      <c r="P50" s="5" t="str">
        <f>IF('Jelenlét'!P50&gt;=1,'Jelenlét'!P50*'Jelenlét'!$Z50,"")</f>
        <v/>
      </c>
      <c r="Q50" s="5" t="str">
        <f>IF('Jelenlét'!Q50&gt;=1,'Jelenlét'!Q50*'Jelenlét'!$Z50,"")</f>
        <v/>
      </c>
      <c r="R50" s="5">
        <f>IF('Jelenlét'!R50&gt;=1,'Jelenlét'!R50*'Jelenlét'!$Z50,"")</f>
        <v>4984</v>
      </c>
      <c r="S50" s="5">
        <f>IF('Jelenlét'!S50&gt;=1,'Jelenlét'!S50*'Jelenlét'!$Z50,"")</f>
        <v>4984</v>
      </c>
      <c r="T50" s="5">
        <f>IF('Jelenlét'!T50&gt;=1,'Jelenlét'!T50*'Jelenlét'!$Z50,"")</f>
        <v>2492</v>
      </c>
      <c r="U50" s="5" t="str">
        <f>IF('Jelenlét'!U50&gt;=1,'Jelenlét'!U50*'Jelenlét'!$Z50,"")</f>
        <v/>
      </c>
      <c r="V50" s="5">
        <f>IF('Jelenlét'!V50&gt;=1,'Jelenlét'!V50*'Jelenlét'!$Z50,"")</f>
        <v>2492</v>
      </c>
    </row>
    <row r="51">
      <c r="A51" s="8">
        <v>45951.0</v>
      </c>
      <c r="B51" s="5" t="str">
        <f>IF('Jelenlét'!B51&gt;=1,'Jelenlét'!B51*'Jelenlét'!$Z51,"")</f>
        <v/>
      </c>
      <c r="C51" s="5" t="str">
        <f>IF('Jelenlét'!C51&gt;=1,'Jelenlét'!C51*'Jelenlét'!$Z51,"")</f>
        <v/>
      </c>
      <c r="D51" s="5">
        <f>IF('Jelenlét'!D51&gt;=1,'Jelenlét'!D51*'Jelenlét'!$Z51,"")</f>
        <v>2076.666667</v>
      </c>
      <c r="E51" s="5">
        <f>IF('Jelenlét'!E51&gt;=1,'Jelenlét'!E51*'Jelenlét'!$Z51,"")</f>
        <v>4153.333333</v>
      </c>
      <c r="F51" s="5">
        <f>IF('Jelenlét'!F51&gt;=1,'Jelenlét'!F51*'Jelenlét'!$Z51,"")</f>
        <v>4153.333333</v>
      </c>
      <c r="G51" s="5">
        <f>IF('Jelenlét'!G51&gt;=1,'Jelenlét'!G51*'Jelenlét'!$Z51,"")</f>
        <v>2076.666667</v>
      </c>
      <c r="H51" s="5">
        <f>IF('Jelenlét'!H51&gt;=1,'Jelenlét'!H51*'Jelenlét'!$Z51,"")</f>
        <v>2076.666667</v>
      </c>
      <c r="I51" s="5">
        <f>IF('Jelenlét'!I51&gt;=1,'Jelenlét'!I51*'Jelenlét'!$Z51,"")</f>
        <v>2076.666667</v>
      </c>
      <c r="J51" s="5">
        <f>IF('Jelenlét'!J51&gt;=1,'Jelenlét'!J51*'Jelenlét'!$Z51,"")</f>
        <v>2076.666667</v>
      </c>
      <c r="K51" s="5" t="str">
        <f>IF('Jelenlét'!K51&gt;=1,'Jelenlét'!K51*'Jelenlét'!$Z51,"")</f>
        <v/>
      </c>
      <c r="L51" s="5" t="str">
        <f>IF('Jelenlét'!L51&gt;=1,'Jelenlét'!L51*'Jelenlét'!$Z51,"")</f>
        <v/>
      </c>
      <c r="M51" s="5" t="str">
        <f>IF('Jelenlét'!M51&gt;=1,'Jelenlét'!M51*'Jelenlét'!$Z51,"")</f>
        <v/>
      </c>
      <c r="N51" s="5" t="str">
        <f>IF('Jelenlét'!N51&gt;=1,'Jelenlét'!N51*'Jelenlét'!$Z51,"")</f>
        <v/>
      </c>
      <c r="O51" s="5" t="str">
        <f>IF('Jelenlét'!O51&gt;=1,'Jelenlét'!O51*'Jelenlét'!$Z51,"")</f>
        <v/>
      </c>
      <c r="P51" s="5" t="str">
        <f>IF('Jelenlét'!P51&gt;=1,'Jelenlét'!P51*'Jelenlét'!$Z51,"")</f>
        <v/>
      </c>
      <c r="Q51" s="5" t="str">
        <f>IF('Jelenlét'!Q51&gt;=1,'Jelenlét'!Q51*'Jelenlét'!$Z51,"")</f>
        <v/>
      </c>
      <c r="R51" s="5" t="str">
        <f>IF('Jelenlét'!R51&gt;=1,'Jelenlét'!R51*'Jelenlét'!$Z51,"")</f>
        <v/>
      </c>
      <c r="S51" s="5" t="str">
        <f>IF('Jelenlét'!S51&gt;=1,'Jelenlét'!S51*'Jelenlét'!$Z51,"")</f>
        <v/>
      </c>
      <c r="T51" s="5">
        <f>IF('Jelenlét'!T51&gt;=1,'Jelenlét'!T51*'Jelenlét'!$Z51,"")</f>
        <v>2076.666667</v>
      </c>
      <c r="U51" s="5">
        <f>IF('Jelenlét'!U51&gt;=1,'Jelenlét'!U51*'Jelenlét'!$Z51,"")</f>
        <v>2076.666667</v>
      </c>
      <c r="V51" s="5">
        <f>IF('Jelenlét'!V51&gt;=1,'Jelenlét'!V51*'Jelenlét'!$Z51,"")</f>
        <v>2076.666667</v>
      </c>
    </row>
    <row r="52">
      <c r="A52" s="8">
        <v>45958.0</v>
      </c>
      <c r="B52" s="5" t="str">
        <f>IF('Jelenlét'!B52&gt;=1,'Jelenlét'!B52*'Jelenlét'!$Z52,"")</f>
        <v/>
      </c>
      <c r="C52" s="5" t="str">
        <f>IF('Jelenlét'!C52&gt;=1,'Jelenlét'!C52*'Jelenlét'!$Z52,"")</f>
        <v/>
      </c>
      <c r="D52" s="5">
        <f>IF('Jelenlét'!D52&gt;=1,'Jelenlét'!D52*'Jelenlét'!$Z52,"")</f>
        <v>2265.454545</v>
      </c>
      <c r="E52" s="5" t="str">
        <f>IF('Jelenlét'!E52&gt;=1,'Jelenlét'!E52*'Jelenlét'!$Z52,"")</f>
        <v/>
      </c>
      <c r="F52" s="5">
        <f>IF('Jelenlét'!F52&gt;=1,'Jelenlét'!F52*'Jelenlét'!$Z52,"")</f>
        <v>4530.909091</v>
      </c>
      <c r="G52" s="5">
        <f>IF('Jelenlét'!G52&gt;=1,'Jelenlét'!G52*'Jelenlét'!$Z52,"")</f>
        <v>2265.454545</v>
      </c>
      <c r="H52" s="5">
        <f>IF('Jelenlét'!H52&gt;=1,'Jelenlét'!H52*'Jelenlét'!$Z52,"")</f>
        <v>2265.454545</v>
      </c>
      <c r="I52" s="5">
        <f>IF('Jelenlét'!I52&gt;=1,'Jelenlét'!I52*'Jelenlét'!$Z52,"")</f>
        <v>2265.454545</v>
      </c>
      <c r="J52" s="5">
        <f>IF('Jelenlét'!J52&gt;=1,'Jelenlét'!J52*'Jelenlét'!$Z52,"")</f>
        <v>2265.454545</v>
      </c>
      <c r="K52" s="5" t="str">
        <f>IF('Jelenlét'!K52&gt;=1,'Jelenlét'!K52*'Jelenlét'!$Z52,"")</f>
        <v/>
      </c>
      <c r="L52" s="5" t="str">
        <f>IF('Jelenlét'!L52&gt;=1,'Jelenlét'!L52*'Jelenlét'!$Z52,"")</f>
        <v/>
      </c>
      <c r="M52" s="5" t="str">
        <f>IF('Jelenlét'!M52&gt;=1,'Jelenlét'!M52*'Jelenlét'!$Z52,"")</f>
        <v/>
      </c>
      <c r="N52" s="5" t="str">
        <f>IF('Jelenlét'!N52&gt;=1,'Jelenlét'!N52*'Jelenlét'!$Z52,"")</f>
        <v/>
      </c>
      <c r="O52" s="5" t="str">
        <f>IF('Jelenlét'!O52&gt;=1,'Jelenlét'!O52*'Jelenlét'!$Z52,"")</f>
        <v/>
      </c>
      <c r="P52" s="5" t="str">
        <f>IF('Jelenlét'!P52&gt;=1,'Jelenlét'!P52*'Jelenlét'!$Z52,"")</f>
        <v/>
      </c>
      <c r="Q52" s="5" t="str">
        <f>IF('Jelenlét'!Q52&gt;=1,'Jelenlét'!Q52*'Jelenlét'!$Z52,"")</f>
        <v/>
      </c>
      <c r="R52" s="5">
        <f>IF('Jelenlét'!R52&gt;=1,'Jelenlét'!R52*'Jelenlét'!$Z52,"")</f>
        <v>2265.454545</v>
      </c>
      <c r="S52" s="5" t="str">
        <f>IF('Jelenlét'!S52&gt;=1,'Jelenlét'!S52*'Jelenlét'!$Z52,"")</f>
        <v/>
      </c>
      <c r="T52" s="5">
        <f>IF('Jelenlét'!T52&gt;=1,'Jelenlét'!T52*'Jelenlét'!$Z52,"")</f>
        <v>2265.454545</v>
      </c>
      <c r="U52" s="5">
        <f>IF('Jelenlét'!U52&gt;=1,'Jelenlét'!U52*'Jelenlét'!$Z52,"")</f>
        <v>2265.454545</v>
      </c>
      <c r="V52" s="5">
        <f>IF('Jelenlét'!V52&gt;=1,'Jelenlét'!V52*'Jelenlét'!$Z52,"")</f>
        <v>2265.454545</v>
      </c>
    </row>
    <row r="53">
      <c r="A53" s="8">
        <v>45965.0</v>
      </c>
      <c r="B53" s="5" t="str">
        <f>IF('Jelenlét'!B53&gt;=1,'Jelenlét'!B53*'Jelenlét'!$Z53,"")</f>
        <v/>
      </c>
      <c r="C53" s="5" t="str">
        <f>IF('Jelenlét'!C53&gt;=1,'Jelenlét'!C53*'Jelenlét'!$Z53,"")</f>
        <v/>
      </c>
      <c r="D53" s="5">
        <f>IF('Jelenlét'!D53&gt;=1,'Jelenlét'!D53*'Jelenlét'!$Z53,"")</f>
        <v>3115</v>
      </c>
      <c r="E53" s="5" t="str">
        <f>IF('Jelenlét'!E53&gt;=1,'Jelenlét'!E53*'Jelenlét'!$Z53,"")</f>
        <v/>
      </c>
      <c r="F53" s="5">
        <f>IF('Jelenlét'!F53&gt;=1,'Jelenlét'!F53*'Jelenlét'!$Z53,"")</f>
        <v>6230</v>
      </c>
      <c r="G53" s="5" t="str">
        <f>IF('Jelenlét'!G53&gt;=1,'Jelenlét'!G53*'Jelenlét'!$Z53,"")</f>
        <v/>
      </c>
      <c r="H53" s="5">
        <f>IF('Jelenlét'!H53&gt;=1,'Jelenlét'!H53*'Jelenlét'!$Z53,"")</f>
        <v>3115</v>
      </c>
      <c r="I53" s="5">
        <f>IF('Jelenlét'!I53&gt;=1,'Jelenlét'!I53*'Jelenlét'!$Z53,"")</f>
        <v>3115</v>
      </c>
      <c r="J53" s="5">
        <f>IF('Jelenlét'!J53&gt;=1,'Jelenlét'!J53*'Jelenlét'!$Z53,"")</f>
        <v>3115</v>
      </c>
      <c r="K53" s="5" t="str">
        <f>IF('Jelenlét'!K53&gt;=1,'Jelenlét'!K53*'Jelenlét'!$Z53,"")</f>
        <v/>
      </c>
      <c r="L53" s="5" t="str">
        <f>IF('Jelenlét'!L53&gt;=1,'Jelenlét'!L53*'Jelenlét'!$Z53,"")</f>
        <v/>
      </c>
      <c r="M53" s="5" t="str">
        <f>IF('Jelenlét'!M53&gt;=1,'Jelenlét'!M53*'Jelenlét'!$Z53,"")</f>
        <v/>
      </c>
      <c r="N53" s="5" t="str">
        <f>IF('Jelenlét'!N53&gt;=1,'Jelenlét'!N53*'Jelenlét'!$Z53,"")</f>
        <v/>
      </c>
      <c r="O53" s="5" t="str">
        <f>IF('Jelenlét'!O53&gt;=1,'Jelenlét'!O53*'Jelenlét'!$Z53,"")</f>
        <v/>
      </c>
      <c r="P53" s="5" t="str">
        <f>IF('Jelenlét'!P53&gt;=1,'Jelenlét'!P53*'Jelenlét'!$Z53,"")</f>
        <v/>
      </c>
      <c r="Q53" s="5">
        <f>IF('Jelenlét'!Q53&gt;=1,'Jelenlét'!Q53*'Jelenlét'!$Z53,"")</f>
        <v>3115</v>
      </c>
      <c r="R53" s="5" t="str">
        <f>IF('Jelenlét'!R53&gt;=1,'Jelenlét'!R53*'Jelenlét'!$Z53,"")</f>
        <v/>
      </c>
      <c r="S53" s="5" t="str">
        <f>IF('Jelenlét'!S53&gt;=1,'Jelenlét'!S53*'Jelenlét'!$Z53,"")</f>
        <v/>
      </c>
      <c r="T53" s="5" t="str">
        <f>IF('Jelenlét'!T53&gt;=1,'Jelenlét'!T53*'Jelenlét'!$Z53,"")</f>
        <v/>
      </c>
      <c r="U53" s="5">
        <f>IF('Jelenlét'!U53&gt;=1,'Jelenlét'!U53*'Jelenlét'!$Z53,"")</f>
        <v>3115</v>
      </c>
      <c r="V53" s="5" t="str">
        <f>IF('Jelenlét'!V53&gt;=1,'Jelenlét'!V53*'Jelenlét'!$Z53,"")</f>
        <v/>
      </c>
    </row>
    <row r="54">
      <c r="A54" s="8">
        <v>45972.0</v>
      </c>
      <c r="B54" s="5" t="str">
        <f>IF('Jelenlét'!B54&gt;=1,'Jelenlét'!B54*'Jelenlét'!$Z54,"")</f>
        <v/>
      </c>
      <c r="C54" s="5" t="str">
        <f>IF('Jelenlét'!C54&gt;=1,'Jelenlét'!C54*'Jelenlét'!$Z54,"")</f>
        <v/>
      </c>
      <c r="D54" s="5" t="str">
        <f>IF('Jelenlét'!D54&gt;=1,'Jelenlét'!D54*'Jelenlét'!$Z54,"")</f>
        <v/>
      </c>
      <c r="E54" s="5" t="str">
        <f>IF('Jelenlét'!E54&gt;=1,'Jelenlét'!E54*'Jelenlét'!$Z54,"")</f>
        <v/>
      </c>
      <c r="F54" s="5">
        <f>IF('Jelenlét'!F54&gt;=1,'Jelenlét'!F54*'Jelenlét'!$Z54,"")</f>
        <v>3833.846154</v>
      </c>
      <c r="G54" s="5">
        <f>IF('Jelenlét'!G54&gt;=1,'Jelenlét'!G54*'Jelenlét'!$Z54,"")</f>
        <v>1916.923077</v>
      </c>
      <c r="H54" s="5">
        <f>IF('Jelenlét'!H54&gt;=1,'Jelenlét'!H54*'Jelenlét'!$Z54,"")</f>
        <v>1916.923077</v>
      </c>
      <c r="I54" s="5">
        <f>IF('Jelenlét'!I54&gt;=1,'Jelenlét'!I54*'Jelenlét'!$Z54,"")</f>
        <v>1916.923077</v>
      </c>
      <c r="J54" s="5" t="str">
        <f>IF('Jelenlét'!J54&gt;=1,'Jelenlét'!J54*'Jelenlét'!$Z54,"")</f>
        <v/>
      </c>
      <c r="K54" s="5" t="str">
        <f>IF('Jelenlét'!K54&gt;=1,'Jelenlét'!K54*'Jelenlét'!$Z54,"")</f>
        <v/>
      </c>
      <c r="L54" s="5" t="str">
        <f>IF('Jelenlét'!L54&gt;=1,'Jelenlét'!L54*'Jelenlét'!$Z54,"")</f>
        <v/>
      </c>
      <c r="M54" s="5" t="str">
        <f>IF('Jelenlét'!M54&gt;=1,'Jelenlét'!M54*'Jelenlét'!$Z54,"")</f>
        <v/>
      </c>
      <c r="N54" s="5" t="str">
        <f>IF('Jelenlét'!N54&gt;=1,'Jelenlét'!N54*'Jelenlét'!$Z54,"")</f>
        <v/>
      </c>
      <c r="O54" s="5" t="str">
        <f>IF('Jelenlét'!O54&gt;=1,'Jelenlét'!O54*'Jelenlét'!$Z54,"")</f>
        <v/>
      </c>
      <c r="P54" s="5" t="str">
        <f>IF('Jelenlét'!P54&gt;=1,'Jelenlét'!P54*'Jelenlét'!$Z54,"")</f>
        <v/>
      </c>
      <c r="Q54" s="5" t="str">
        <f>IF('Jelenlét'!Q54&gt;=1,'Jelenlét'!Q54*'Jelenlét'!$Z54,"")</f>
        <v/>
      </c>
      <c r="R54" s="5">
        <f>IF('Jelenlét'!R54&gt;=1,'Jelenlét'!R54*'Jelenlét'!$Z54,"")</f>
        <v>9584.615385</v>
      </c>
      <c r="S54" s="5">
        <f>IF('Jelenlét'!S54&gt;=1,'Jelenlét'!S54*'Jelenlét'!$Z54,"")</f>
        <v>3833.846154</v>
      </c>
      <c r="T54" s="5">
        <f>IF('Jelenlét'!T54&gt;=1,'Jelenlét'!T54*'Jelenlét'!$Z54,"")</f>
        <v>1916.923077</v>
      </c>
      <c r="U54" s="5" t="str">
        <f>IF('Jelenlét'!U54&gt;=1,'Jelenlét'!U54*'Jelenlét'!$Z54,"")</f>
        <v/>
      </c>
      <c r="V54" s="5" t="str">
        <f>IF('Jelenlét'!V54&gt;=1,'Jelenlét'!V54*'Jelenlét'!$Z54,"")</f>
        <v/>
      </c>
    </row>
    <row r="55">
      <c r="A55" s="8">
        <v>45979.0</v>
      </c>
      <c r="B55" s="5" t="str">
        <f>IF('Jelenlét'!B55&gt;=1,'Jelenlét'!B55*'Jelenlét'!$Z55,"")</f>
        <v/>
      </c>
      <c r="C55" s="5" t="str">
        <f>IF('Jelenlét'!C55&gt;=1,'Jelenlét'!C55*'Jelenlét'!$Z55,"")</f>
        <v/>
      </c>
      <c r="D55" s="5" t="str">
        <f>IF('Jelenlét'!D55&gt;=1,'Jelenlét'!D55*'Jelenlét'!$Z55,"")</f>
        <v/>
      </c>
      <c r="E55" s="5" t="str">
        <f>IF('Jelenlét'!E55&gt;=1,'Jelenlét'!E55*'Jelenlét'!$Z55,"")</f>
        <v/>
      </c>
      <c r="F55" s="5"/>
      <c r="G55" s="5" t="str">
        <f>IF('Jelenlét'!G55&gt;=1,'Jelenlét'!G55*'Jelenlét'!$Z55,"")</f>
        <v/>
      </c>
      <c r="H55" s="5" t="str">
        <f>IF('Jelenlét'!H55&gt;=1,'Jelenlét'!H55*'Jelenlét'!$Z55,"")</f>
        <v/>
      </c>
      <c r="I55" s="5" t="str">
        <f>IF('Jelenlét'!I55&gt;=1,'Jelenlét'!I55*'Jelenlét'!$Z55,"")</f>
        <v/>
      </c>
      <c r="J55" s="5" t="str">
        <f>IF('Jelenlét'!J55&gt;=1,'Jelenlét'!J55*'Jelenlét'!$Z55,"")</f>
        <v/>
      </c>
      <c r="K55" s="5" t="str">
        <f>IF('Jelenlét'!K55&gt;=1,'Jelenlét'!K55*'Jelenlét'!$Z55,"")</f>
        <v/>
      </c>
      <c r="L55" s="5" t="str">
        <f>IF('Jelenlét'!L55&gt;=1,'Jelenlét'!L55*'Jelenlét'!$Z55,"")</f>
        <v/>
      </c>
      <c r="M55" s="5" t="str">
        <f>IF('Jelenlét'!M55&gt;=1,'Jelenlét'!M55*'Jelenlét'!$Z55,"")</f>
        <v/>
      </c>
      <c r="N55" s="5" t="str">
        <f>IF('Jelenlét'!N55&gt;=1,'Jelenlét'!N55*'Jelenlét'!$Z55,"")</f>
        <v/>
      </c>
      <c r="O55" s="5" t="str">
        <f>IF('Jelenlét'!O55&gt;=1,'Jelenlét'!O55*'Jelenlét'!$Z55,"")</f>
        <v/>
      </c>
      <c r="P55" s="5" t="str">
        <f>IF('Jelenlét'!P55&gt;=1,'Jelenlét'!P55*'Jelenlét'!$Z55,"")</f>
        <v/>
      </c>
      <c r="Q55" s="5" t="str">
        <f>IF('Jelenlét'!Q55&gt;=1,'Jelenlét'!Q55*'Jelenlét'!$Z55,"")</f>
        <v/>
      </c>
      <c r="R55" s="5" t="str">
        <f>IF('Jelenlét'!R55&gt;=1,'Jelenlét'!R55*'Jelenlét'!$Z55,"")</f>
        <v/>
      </c>
      <c r="S55" s="5" t="str">
        <f>IF('Jelenlét'!S55&gt;=1,'Jelenlét'!S55*'Jelenlét'!$Z55,"")</f>
        <v/>
      </c>
      <c r="T55" s="5" t="str">
        <f>IF('Jelenlét'!T55&gt;=1,'Jelenlét'!T55*'Jelenlét'!$Z55,"")</f>
        <v/>
      </c>
      <c r="U55" s="5" t="str">
        <f>IF('Jelenlét'!U55&gt;=1,'Jelenlét'!U55*'Jelenlét'!$Z55,"")</f>
        <v/>
      </c>
      <c r="V55" s="5" t="str">
        <f>IF('Jelenlét'!V55&gt;=1,'Jelenlét'!V55*'Jelenlét'!$Z55,"")</f>
        <v/>
      </c>
    </row>
    <row r="56">
      <c r="A56" s="8">
        <v>45986.0</v>
      </c>
      <c r="B56" s="5" t="str">
        <f>IF('Jelenlét'!B56&gt;=1,'Jelenlét'!B56*'Jelenlét'!$Z56,"")</f>
        <v/>
      </c>
      <c r="C56" s="5" t="str">
        <f>IF('Jelenlét'!C56&gt;=1,'Jelenlét'!C56*'Jelenlét'!$Z56,"")</f>
        <v/>
      </c>
      <c r="D56" s="5" t="str">
        <f>IF('Jelenlét'!D56&gt;=1,'Jelenlét'!D56*'Jelenlét'!$Z56,"")</f>
        <v/>
      </c>
      <c r="E56" s="5" t="str">
        <f>IF('Jelenlét'!E56&gt;=1,'Jelenlét'!E56*'Jelenlét'!$Z56,"")</f>
        <v/>
      </c>
      <c r="F56" s="5"/>
      <c r="G56" s="5" t="str">
        <f>IF('Jelenlét'!G56&gt;=1,'Jelenlét'!G56*'Jelenlét'!$Z56,"")</f>
        <v/>
      </c>
      <c r="H56" s="5" t="str">
        <f>IF('Jelenlét'!H56&gt;=1,'Jelenlét'!H56*'Jelenlét'!$Z56,"")</f>
        <v/>
      </c>
      <c r="I56" s="5" t="str">
        <f>IF('Jelenlét'!I56&gt;=1,'Jelenlét'!I56*'Jelenlét'!$Z56,"")</f>
        <v/>
      </c>
      <c r="J56" s="5" t="str">
        <f>IF('Jelenlét'!J56&gt;=1,'Jelenlét'!J56*'Jelenlét'!$Z56,"")</f>
        <v/>
      </c>
      <c r="K56" s="5" t="str">
        <f>IF('Jelenlét'!K56&gt;=1,'Jelenlét'!K56*'Jelenlét'!$Z56,"")</f>
        <v/>
      </c>
      <c r="L56" s="5" t="str">
        <f>IF('Jelenlét'!L56&gt;=1,'Jelenlét'!L56*'Jelenlét'!$Z56,"")</f>
        <v/>
      </c>
      <c r="M56" s="5" t="str">
        <f>IF('Jelenlét'!M56&gt;=1,'Jelenlét'!M56*'Jelenlét'!$Z56,"")</f>
        <v/>
      </c>
      <c r="N56" s="5" t="str">
        <f>IF('Jelenlét'!N56&gt;=1,'Jelenlét'!N56*'Jelenlét'!$Z56,"")</f>
        <v/>
      </c>
      <c r="O56" s="5" t="str">
        <f>IF('Jelenlét'!O56&gt;=1,'Jelenlét'!O56*'Jelenlét'!$Z56,"")</f>
        <v/>
      </c>
      <c r="P56" s="5" t="str">
        <f>IF('Jelenlét'!P56&gt;=1,'Jelenlét'!P56*'Jelenlét'!$Z56,"")</f>
        <v/>
      </c>
      <c r="Q56" s="5" t="str">
        <f>IF('Jelenlét'!Q56&gt;=1,'Jelenlét'!Q56*'Jelenlét'!$Z56,"")</f>
        <v/>
      </c>
      <c r="R56" s="5" t="str">
        <f>IF('Jelenlét'!R56&gt;=1,'Jelenlét'!R56*'Jelenlét'!$Z56,"")</f>
        <v/>
      </c>
      <c r="S56" s="5" t="str">
        <f>IF('Jelenlét'!S56&gt;=1,'Jelenlét'!S56*'Jelenlét'!$Z56,"")</f>
        <v/>
      </c>
      <c r="T56" s="5" t="str">
        <f>IF('Jelenlét'!T56&gt;=1,'Jelenlét'!T56*'Jelenlét'!$Z56,"")</f>
        <v/>
      </c>
      <c r="U56" s="5" t="str">
        <f>IF('Jelenlét'!U56&gt;=1,'Jelenlét'!U56*'Jelenlét'!$Z56,"")</f>
        <v/>
      </c>
      <c r="V56" s="5" t="str">
        <f>IF('Jelenlét'!V56&gt;=1,'Jelenlét'!V56*'Jelenlét'!$Z56,"")</f>
        <v/>
      </c>
    </row>
    <row r="57">
      <c r="A57" s="8">
        <v>45993.0</v>
      </c>
      <c r="B57" s="5" t="str">
        <f>IF('Jelenlét'!B57&gt;=1,'Jelenlét'!B57*'Jelenlét'!$Z57,"")</f>
        <v/>
      </c>
      <c r="C57" s="5" t="str">
        <f>IF('Jelenlét'!C57&gt;=1,'Jelenlét'!C57*'Jelenlét'!$Z57,"")</f>
        <v/>
      </c>
      <c r="D57" s="5" t="str">
        <f>IF('Jelenlét'!D57&gt;=1,'Jelenlét'!D57*'Jelenlét'!$Z57,"")</f>
        <v/>
      </c>
      <c r="E57" s="5" t="str">
        <f>IF('Jelenlét'!E57&gt;=1,'Jelenlét'!E57*'Jelenlét'!$Z57,"")</f>
        <v/>
      </c>
      <c r="F57" s="5"/>
      <c r="G57" s="5" t="str">
        <f>IF('Jelenlét'!G57&gt;=1,'Jelenlét'!G57*'Jelenlét'!$Z57,"")</f>
        <v/>
      </c>
      <c r="H57" s="5" t="str">
        <f>IF('Jelenlét'!H57&gt;=1,'Jelenlét'!H57*'Jelenlét'!$Z57,"")</f>
        <v/>
      </c>
      <c r="I57" s="5" t="str">
        <f>IF('Jelenlét'!I57&gt;=1,'Jelenlét'!I57*'Jelenlét'!$Z57,"")</f>
        <v/>
      </c>
      <c r="J57" s="5" t="str">
        <f>IF('Jelenlét'!J57&gt;=1,'Jelenlét'!J57*'Jelenlét'!$Z57,"")</f>
        <v/>
      </c>
      <c r="K57" s="5" t="str">
        <f>IF('Jelenlét'!K57&gt;=1,'Jelenlét'!K57*'Jelenlét'!$Z57,"")</f>
        <v/>
      </c>
      <c r="L57" s="5" t="str">
        <f>IF('Jelenlét'!L57&gt;=1,'Jelenlét'!L57*'Jelenlét'!$Z57,"")</f>
        <v/>
      </c>
      <c r="M57" s="5" t="str">
        <f>IF('Jelenlét'!M57&gt;=1,'Jelenlét'!M57*'Jelenlét'!$Z57,"")</f>
        <v/>
      </c>
      <c r="N57" s="5" t="str">
        <f>IF('Jelenlét'!N57&gt;=1,'Jelenlét'!N57*'Jelenlét'!$Z57,"")</f>
        <v/>
      </c>
      <c r="O57" s="5" t="str">
        <f>IF('Jelenlét'!O57&gt;=1,'Jelenlét'!O57*'Jelenlét'!$Z57,"")</f>
        <v/>
      </c>
      <c r="P57" s="5" t="str">
        <f>IF('Jelenlét'!P57&gt;=1,'Jelenlét'!P57*'Jelenlét'!$Z57,"")</f>
        <v/>
      </c>
      <c r="Q57" s="5" t="str">
        <f>IF('Jelenlét'!Q57&gt;=1,'Jelenlét'!Q57*'Jelenlét'!$Z57,"")</f>
        <v/>
      </c>
      <c r="R57" s="5" t="str">
        <f>IF('Jelenlét'!R57&gt;=1,'Jelenlét'!R57*'Jelenlét'!$Z57,"")</f>
        <v/>
      </c>
      <c r="S57" s="5" t="str">
        <f>IF('Jelenlét'!S57&gt;=1,'Jelenlét'!S57*'Jelenlét'!$Z57,"")</f>
        <v/>
      </c>
      <c r="T57" s="5" t="str">
        <f>IF('Jelenlét'!T57&gt;=1,'Jelenlét'!T57*'Jelenlét'!$Z57,"")</f>
        <v/>
      </c>
      <c r="U57" s="5" t="str">
        <f>IF('Jelenlét'!U57&gt;=1,'Jelenlét'!U57*'Jelenlét'!$Z57,"")</f>
        <v/>
      </c>
      <c r="V57" s="5" t="str">
        <f>IF('Jelenlét'!V57&gt;=1,'Jelenlét'!V57*'Jelenlét'!$Z57,"")</f>
        <v/>
      </c>
    </row>
    <row r="58">
      <c r="A58" s="8">
        <v>46000.0</v>
      </c>
      <c r="B58" s="5" t="str">
        <f>IF('Jelenlét'!B58&gt;=1,'Jelenlét'!B58*'Jelenlét'!$Z58,"")</f>
        <v/>
      </c>
      <c r="C58" s="5" t="str">
        <f>IF('Jelenlét'!C58&gt;=1,'Jelenlét'!C58*'Jelenlét'!$Z58,"")</f>
        <v/>
      </c>
      <c r="D58" s="5" t="str">
        <f>IF('Jelenlét'!D58&gt;=1,'Jelenlét'!D58*'Jelenlét'!$Z58,"")</f>
        <v/>
      </c>
      <c r="E58" s="5" t="str">
        <f>IF('Jelenlét'!E58&gt;=1,'Jelenlét'!E58*'Jelenlét'!$Z58,"")</f>
        <v/>
      </c>
      <c r="F58" s="5" t="str">
        <f>IF('Jelenlét'!F58&gt;=1,'Jelenlét'!F58*'Jelenlét'!$Z58,"")</f>
        <v/>
      </c>
      <c r="G58" s="5" t="str">
        <f>IF('Jelenlét'!G58&gt;=1,'Jelenlét'!G58*'Jelenlét'!$Z58,"")</f>
        <v/>
      </c>
      <c r="H58" s="5" t="str">
        <f>IF('Jelenlét'!H58&gt;=1,'Jelenlét'!H58*'Jelenlét'!$Z58,"")</f>
        <v/>
      </c>
      <c r="I58" s="5" t="str">
        <f>IF('Jelenlét'!I58&gt;=1,'Jelenlét'!I58*'Jelenlét'!$Z58,"")</f>
        <v/>
      </c>
      <c r="J58" s="5" t="str">
        <f>IF('Jelenlét'!J58&gt;=1,'Jelenlét'!J58*'Jelenlét'!$Z58,"")</f>
        <v/>
      </c>
      <c r="K58" s="5" t="str">
        <f>IF('Jelenlét'!K58&gt;=1,'Jelenlét'!K58*'Jelenlét'!$Z58,"")</f>
        <v/>
      </c>
      <c r="L58" s="5" t="str">
        <f>IF('Jelenlét'!L58&gt;=1,'Jelenlét'!L58*'Jelenlét'!$Z58,"")</f>
        <v/>
      </c>
      <c r="M58" s="5" t="str">
        <f>IF('Jelenlét'!M58&gt;=1,'Jelenlét'!M58*'Jelenlét'!$Z58,"")</f>
        <v/>
      </c>
      <c r="N58" s="5" t="str">
        <f>IF('Jelenlét'!N58&gt;=1,'Jelenlét'!N58*'Jelenlét'!$Z58,"")</f>
        <v/>
      </c>
      <c r="O58" s="5" t="str">
        <f>IF('Jelenlét'!O58&gt;=1,'Jelenlét'!O58*'Jelenlét'!$Z58,"")</f>
        <v/>
      </c>
      <c r="P58" s="5" t="str">
        <f>IF('Jelenlét'!P58&gt;=1,'Jelenlét'!P58*'Jelenlét'!$Z58,"")</f>
        <v/>
      </c>
      <c r="Q58" s="5" t="str">
        <f>IF('Jelenlét'!Q58&gt;=1,'Jelenlét'!Q58*'Jelenlét'!$Z58,"")</f>
        <v/>
      </c>
      <c r="R58" s="5" t="str">
        <f>IF('Jelenlét'!R58&gt;=1,'Jelenlét'!R58*'Jelenlét'!$Z58,"")</f>
        <v/>
      </c>
      <c r="S58" s="5" t="str">
        <f>IF('Jelenlét'!S58&gt;=1,'Jelenlét'!S58*'Jelenlét'!$Z58,"")</f>
        <v/>
      </c>
      <c r="T58" s="5" t="str">
        <f>IF('Jelenlét'!T58&gt;=1,'Jelenlét'!T58*'Jelenlét'!$Z58,"")</f>
        <v/>
      </c>
      <c r="U58" s="5" t="str">
        <f>IF('Jelenlét'!U58&gt;=1,'Jelenlét'!U58*'Jelenlét'!$Z58,"")</f>
        <v/>
      </c>
      <c r="V58" s="5" t="str">
        <f>IF('Jelenlét'!V58&gt;=1,'Jelenlét'!V58*'Jelenlét'!$Z58,"")</f>
        <v/>
      </c>
    </row>
    <row r="59">
      <c r="A59" s="8">
        <v>46007.0</v>
      </c>
      <c r="B59" s="5" t="str">
        <f>IF('Jelenlét'!B59&gt;=1,'Jelenlét'!B59*'Jelenlét'!$Z59,"")</f>
        <v/>
      </c>
      <c r="C59" s="5" t="str">
        <f>IF('Jelenlét'!C59&gt;=1,'Jelenlét'!C59*'Jelenlét'!$Z59,"")</f>
        <v/>
      </c>
      <c r="D59" s="5" t="str">
        <f>IF('Jelenlét'!D59&gt;=1,'Jelenlét'!D59*'Jelenlét'!$Z59,"")</f>
        <v/>
      </c>
      <c r="E59" s="5" t="str">
        <f>IF('Jelenlét'!E59&gt;=1,'Jelenlét'!E59*'Jelenlét'!$Z59,"")</f>
        <v/>
      </c>
      <c r="F59" s="5" t="str">
        <f>IF('Jelenlét'!F59&gt;=1,'Jelenlét'!F59*'Jelenlét'!$Z59,"")</f>
        <v/>
      </c>
      <c r="G59" s="5" t="str">
        <f>IF('Jelenlét'!G59&gt;=1,'Jelenlét'!G59*'Jelenlét'!$Z59,"")</f>
        <v/>
      </c>
      <c r="H59" s="5" t="str">
        <f>IF('Jelenlét'!H59&gt;=1,'Jelenlét'!H59*'Jelenlét'!$Z59,"")</f>
        <v/>
      </c>
      <c r="I59" s="5" t="str">
        <f>IF('Jelenlét'!I59&gt;=1,'Jelenlét'!I59*'Jelenlét'!$Z59,"")</f>
        <v/>
      </c>
      <c r="J59" s="5" t="str">
        <f>IF('Jelenlét'!J59&gt;=1,'Jelenlét'!J59*'Jelenlét'!$Z59,"")</f>
        <v/>
      </c>
      <c r="K59" s="5" t="str">
        <f>IF('Jelenlét'!K59&gt;=1,'Jelenlét'!K59*'Jelenlét'!$Z59,"")</f>
        <v/>
      </c>
      <c r="L59" s="5" t="str">
        <f>IF('Jelenlét'!L59&gt;=1,'Jelenlét'!L59*'Jelenlét'!$Z59,"")</f>
        <v/>
      </c>
      <c r="M59" s="5" t="str">
        <f>IF('Jelenlét'!M59&gt;=1,'Jelenlét'!M59*'Jelenlét'!$Z59,"")</f>
        <v/>
      </c>
      <c r="N59" s="5" t="str">
        <f>IF('Jelenlét'!N59&gt;=1,'Jelenlét'!N59*'Jelenlét'!$Z59,"")</f>
        <v/>
      </c>
      <c r="O59" s="5" t="str">
        <f>IF('Jelenlét'!O59&gt;=1,'Jelenlét'!O59*'Jelenlét'!$Z59,"")</f>
        <v/>
      </c>
      <c r="P59" s="5" t="str">
        <f>IF('Jelenlét'!P59&gt;=1,'Jelenlét'!P59*'Jelenlét'!$Z59,"")</f>
        <v/>
      </c>
      <c r="Q59" s="5" t="str">
        <f>IF('Jelenlét'!Q59&gt;=1,'Jelenlét'!Q59*'Jelenlét'!$Z59,"")</f>
        <v/>
      </c>
      <c r="R59" s="5" t="str">
        <f>IF('Jelenlét'!R59&gt;=1,'Jelenlét'!R59*'Jelenlét'!$Z59,"")</f>
        <v/>
      </c>
      <c r="S59" s="5" t="str">
        <f>IF('Jelenlét'!S59&gt;=1,'Jelenlét'!S59*'Jelenlét'!$Z59,"")</f>
        <v/>
      </c>
      <c r="T59" s="5" t="str">
        <f>IF('Jelenlét'!T59&gt;=1,'Jelenlét'!T59*'Jelenlét'!$Z59,"")</f>
        <v/>
      </c>
      <c r="U59" s="5" t="str">
        <f>IF('Jelenlét'!U59&gt;=1,'Jelenlét'!U59*'Jelenlét'!$Z59,"")</f>
        <v/>
      </c>
      <c r="V59" s="5" t="str">
        <f>IF('Jelenlét'!V59&gt;=1,'Jelenlét'!V59*'Jelenlét'!$Z59,"")</f>
        <v/>
      </c>
    </row>
    <row r="60">
      <c r="A60" s="8">
        <v>46014.0</v>
      </c>
      <c r="B60" s="5" t="str">
        <f>IF('Jelenlét'!B60&gt;=1,'Jelenlét'!B60*'Jelenlét'!$Z60,"")</f>
        <v/>
      </c>
      <c r="C60" s="5" t="str">
        <f>IF('Jelenlét'!C60&gt;=1,'Jelenlét'!C60*'Jelenlét'!$Z60,"")</f>
        <v/>
      </c>
      <c r="D60" s="5" t="str">
        <f>IF('Jelenlét'!D60&gt;=1,'Jelenlét'!D60*'Jelenlét'!$Z60,"")</f>
        <v/>
      </c>
      <c r="E60" s="5" t="str">
        <f>IF('Jelenlét'!E60&gt;=1,'Jelenlét'!E60*'Jelenlét'!$Z60,"")</f>
        <v/>
      </c>
      <c r="F60" s="5" t="str">
        <f>IF('Jelenlét'!F60&gt;=1,'Jelenlét'!F60*'Jelenlét'!$Z60,"")</f>
        <v/>
      </c>
      <c r="G60" s="5" t="str">
        <f>IF('Jelenlét'!G60&gt;=1,'Jelenlét'!G60*'Jelenlét'!$Z60,"")</f>
        <v/>
      </c>
      <c r="H60" s="5" t="str">
        <f>IF('Jelenlét'!H60&gt;=1,'Jelenlét'!H60*'Jelenlét'!$Z60,"")</f>
        <v/>
      </c>
      <c r="I60" s="5" t="str">
        <f>IF('Jelenlét'!I60&gt;=1,'Jelenlét'!I60*'Jelenlét'!$Z60,"")</f>
        <v/>
      </c>
      <c r="J60" s="5" t="str">
        <f>IF('Jelenlét'!J60&gt;=1,'Jelenlét'!J60*'Jelenlét'!$Z60,"")</f>
        <v/>
      </c>
      <c r="K60" s="5" t="str">
        <f>IF('Jelenlét'!K60&gt;=1,'Jelenlét'!K60*'Jelenlét'!$Z60,"")</f>
        <v/>
      </c>
      <c r="L60" s="5" t="str">
        <f>IF('Jelenlét'!L60&gt;=1,'Jelenlét'!L60*'Jelenlét'!$Z60,"")</f>
        <v/>
      </c>
      <c r="M60" s="5" t="str">
        <f>IF('Jelenlét'!M60&gt;=1,'Jelenlét'!M60*'Jelenlét'!$Z60,"")</f>
        <v/>
      </c>
      <c r="N60" s="5" t="str">
        <f>IF('Jelenlét'!N60&gt;=1,'Jelenlét'!N60*'Jelenlét'!$Z60,"")</f>
        <v/>
      </c>
      <c r="O60" s="5" t="str">
        <f>IF('Jelenlét'!O60&gt;=1,'Jelenlét'!O60*'Jelenlét'!$Z60,"")</f>
        <v/>
      </c>
      <c r="P60" s="5" t="str">
        <f>IF('Jelenlét'!P60&gt;=1,'Jelenlét'!P60*'Jelenlét'!$Z60,"")</f>
        <v/>
      </c>
      <c r="Q60" s="5" t="str">
        <f>IF('Jelenlét'!Q60&gt;=1,'Jelenlét'!Q60*'Jelenlét'!$Z60,"")</f>
        <v/>
      </c>
      <c r="R60" s="5" t="str">
        <f>IF('Jelenlét'!R60&gt;=1,'Jelenlét'!R60*'Jelenlét'!$Z60,"")</f>
        <v/>
      </c>
      <c r="S60" s="5" t="str">
        <f>IF('Jelenlét'!S60&gt;=1,'Jelenlét'!S60*'Jelenlét'!$Z60,"")</f>
        <v/>
      </c>
      <c r="T60" s="5" t="str">
        <f>IF('Jelenlét'!T60&gt;=1,'Jelenlét'!T60*'Jelenlét'!$Z60,"")</f>
        <v/>
      </c>
      <c r="U60" s="5" t="str">
        <f>IF('Jelenlét'!U60&gt;=1,'Jelenlét'!U60*'Jelenlét'!$Z60,"")</f>
        <v/>
      </c>
      <c r="V60" s="5" t="str">
        <f>IF('Jelenlét'!V60&gt;=1,'Jelenlét'!V60*'Jelenlét'!$Z60,"")</f>
        <v/>
      </c>
    </row>
    <row r="61">
      <c r="A61" s="8">
        <v>46021.0</v>
      </c>
      <c r="B61" s="5" t="str">
        <f>IF('Jelenlét'!B61&gt;=1,'Jelenlét'!B61*'Jelenlét'!$Z61,"")</f>
        <v/>
      </c>
      <c r="C61" s="5" t="str">
        <f>IF('Jelenlét'!C61&gt;=1,'Jelenlét'!C61*'Jelenlét'!$Z61,"")</f>
        <v/>
      </c>
      <c r="D61" s="5" t="str">
        <f>IF('Jelenlét'!D61&gt;=1,'Jelenlét'!D61*'Jelenlét'!$Z61,"")</f>
        <v/>
      </c>
      <c r="E61" s="5" t="str">
        <f>IF('Jelenlét'!E61&gt;=1,'Jelenlét'!E61*'Jelenlét'!$Z61,"")</f>
        <v/>
      </c>
      <c r="F61" s="5" t="str">
        <f>IF('Jelenlét'!F61&gt;=1,'Jelenlét'!F61*'Jelenlét'!$Z61,"")</f>
        <v/>
      </c>
      <c r="G61" s="5" t="str">
        <f>IF('Jelenlét'!G61&gt;=1,'Jelenlét'!G61*'Jelenlét'!$Z61,"")</f>
        <v/>
      </c>
      <c r="H61" s="5" t="str">
        <f>IF('Jelenlét'!H61&gt;=1,'Jelenlét'!H61*'Jelenlét'!$Z61,"")</f>
        <v/>
      </c>
      <c r="I61" s="5" t="str">
        <f>IF('Jelenlét'!I61&gt;=1,'Jelenlét'!I61*'Jelenlét'!$Z61,"")</f>
        <v/>
      </c>
      <c r="J61" s="5" t="str">
        <f>IF('Jelenlét'!J61&gt;=1,'Jelenlét'!J61*'Jelenlét'!$Z61,"")</f>
        <v/>
      </c>
      <c r="K61" s="5" t="str">
        <f>IF('Jelenlét'!K61&gt;=1,'Jelenlét'!K61*'Jelenlét'!$Z61,"")</f>
        <v/>
      </c>
      <c r="L61" s="5" t="str">
        <f>IF('Jelenlét'!L61&gt;=1,'Jelenlét'!L61*'Jelenlét'!$Z61,"")</f>
        <v/>
      </c>
      <c r="M61" s="5" t="str">
        <f>IF('Jelenlét'!M61&gt;=1,'Jelenlét'!M61*'Jelenlét'!$Z61,"")</f>
        <v/>
      </c>
      <c r="N61" s="5" t="str">
        <f>IF('Jelenlét'!N61&gt;=1,'Jelenlét'!N61*'Jelenlét'!$Z61,"")</f>
        <v/>
      </c>
      <c r="O61" s="5" t="str">
        <f>IF('Jelenlét'!O61&gt;=1,'Jelenlét'!O61*'Jelenlét'!$Z61,"")</f>
        <v/>
      </c>
      <c r="P61" s="5" t="str">
        <f>IF('Jelenlét'!P61&gt;=1,'Jelenlét'!P61*'Jelenlét'!$Z61,"")</f>
        <v/>
      </c>
      <c r="Q61" s="5" t="str">
        <f>IF('Jelenlét'!Q61&gt;=1,'Jelenlét'!Q61*'Jelenlét'!$Z61,"")</f>
        <v/>
      </c>
      <c r="R61" s="5" t="str">
        <f>IF('Jelenlét'!R61&gt;=1,'Jelenlét'!R61*'Jelenlét'!$Z61,"")</f>
        <v/>
      </c>
      <c r="S61" s="5" t="str">
        <f>IF('Jelenlét'!S61&gt;=1,'Jelenlét'!S61*'Jelenlét'!$Z61,"")</f>
        <v/>
      </c>
      <c r="T61" s="5" t="str">
        <f>IF('Jelenlét'!T61&gt;=1,'Jelenlét'!T61*'Jelenlét'!$Z61,"")</f>
        <v/>
      </c>
      <c r="U61" s="5" t="str">
        <f>IF('Jelenlét'!U61&gt;=1,'Jelenlét'!U61*'Jelenlét'!$Z61,"")</f>
        <v/>
      </c>
      <c r="V61" s="5" t="str">
        <f>IF('Jelenlét'!V61&gt;=1,'Jelenlét'!V61*'Jelenlét'!$Z61,"")</f>
        <v/>
      </c>
    </row>
    <row r="62">
      <c r="A62" s="8">
        <v>46028.0</v>
      </c>
      <c r="B62" s="5" t="str">
        <f>IF('Jelenlét'!B62&gt;=1,'Jelenlét'!B62*'Jelenlét'!$Z62,"")</f>
        <v/>
      </c>
      <c r="C62" s="5" t="str">
        <f>IF('Jelenlét'!C62&gt;=1,'Jelenlét'!C62*'Jelenlét'!$Z62,"")</f>
        <v/>
      </c>
      <c r="D62" s="5" t="str">
        <f>IF('Jelenlét'!D62&gt;=1,'Jelenlét'!D62*'Jelenlét'!$Z62,"")</f>
        <v/>
      </c>
      <c r="E62" s="5" t="str">
        <f>IF('Jelenlét'!E62&gt;=1,'Jelenlét'!E62*'Jelenlét'!$Z62,"")</f>
        <v/>
      </c>
      <c r="F62" s="5" t="str">
        <f>IF('Jelenlét'!F62&gt;=1,'Jelenlét'!F62*'Jelenlét'!$Z62,"")</f>
        <v/>
      </c>
      <c r="G62" s="5" t="str">
        <f>IF('Jelenlét'!G62&gt;=1,'Jelenlét'!G62*'Jelenlét'!$Z62,"")</f>
        <v/>
      </c>
      <c r="H62" s="5" t="str">
        <f>IF('Jelenlét'!H62&gt;=1,'Jelenlét'!H62*'Jelenlét'!$Z62,"")</f>
        <v/>
      </c>
      <c r="I62" s="5" t="str">
        <f>IF('Jelenlét'!I62&gt;=1,'Jelenlét'!I62*'Jelenlét'!$Z62,"")</f>
        <v/>
      </c>
      <c r="J62" s="5" t="str">
        <f>IF('Jelenlét'!J62&gt;=1,'Jelenlét'!J62*'Jelenlét'!$Z62,"")</f>
        <v/>
      </c>
      <c r="K62" s="5" t="str">
        <f>IF('Jelenlét'!K62&gt;=1,'Jelenlét'!K62*'Jelenlét'!$Z62,"")</f>
        <v/>
      </c>
      <c r="L62" s="5" t="str">
        <f>IF('Jelenlét'!L62&gt;=1,'Jelenlét'!L62*'Jelenlét'!$Z62,"")</f>
        <v/>
      </c>
      <c r="M62" s="5" t="str">
        <f>IF('Jelenlét'!M62&gt;=1,'Jelenlét'!M62*'Jelenlét'!$Z62,"")</f>
        <v/>
      </c>
      <c r="N62" s="5" t="str">
        <f>IF('Jelenlét'!N62&gt;=1,'Jelenlét'!N62*'Jelenlét'!$Z62,"")</f>
        <v/>
      </c>
      <c r="O62" s="5" t="str">
        <f>IF('Jelenlét'!O62&gt;=1,'Jelenlét'!O62*'Jelenlét'!$Z62,"")</f>
        <v/>
      </c>
      <c r="P62" s="5" t="str">
        <f>IF('Jelenlét'!P62&gt;=1,'Jelenlét'!P62*'Jelenlét'!$Z62,"")</f>
        <v/>
      </c>
      <c r="Q62" s="5" t="str">
        <f>IF('Jelenlét'!Q62&gt;=1,'Jelenlét'!Q62*'Jelenlét'!$Z62,"")</f>
        <v/>
      </c>
      <c r="R62" s="5" t="str">
        <f>IF('Jelenlét'!R62&gt;=1,'Jelenlét'!R62*'Jelenlét'!$Z62,"")</f>
        <v/>
      </c>
      <c r="S62" s="5" t="str">
        <f>IF('Jelenlét'!S62&gt;=1,'Jelenlét'!S62*'Jelenlét'!$Z62,"")</f>
        <v/>
      </c>
      <c r="T62" s="5" t="str">
        <f>IF('Jelenlét'!T62&gt;=1,'Jelenlét'!T62*'Jelenlét'!$Z62,"")</f>
        <v/>
      </c>
      <c r="U62" s="5" t="str">
        <f>IF('Jelenlét'!U62&gt;=1,'Jelenlét'!U62*'Jelenlét'!$Z62,"")</f>
        <v/>
      </c>
      <c r="V62" s="5" t="str">
        <f>IF('Jelenlét'!V62&gt;=1,'Jelenlét'!V62*'Jelenlét'!$Z62,"")</f>
        <v/>
      </c>
    </row>
    <row r="63">
      <c r="A63" s="8">
        <v>46035.0</v>
      </c>
      <c r="B63" s="5" t="str">
        <f>IF('Jelenlét'!B63&gt;=1,'Jelenlét'!B63*'Jelenlét'!$Z63,"")</f>
        <v/>
      </c>
      <c r="C63" s="5" t="str">
        <f>IF('Jelenlét'!C63&gt;=1,'Jelenlét'!C63*'Jelenlét'!$Z63,"")</f>
        <v/>
      </c>
      <c r="D63" s="5" t="str">
        <f>IF('Jelenlét'!D63&gt;=1,'Jelenlét'!D63*'Jelenlét'!$Z63,"")</f>
        <v/>
      </c>
      <c r="E63" s="5" t="str">
        <f>IF('Jelenlét'!E63&gt;=1,'Jelenlét'!E63*'Jelenlét'!$Z63,"")</f>
        <v/>
      </c>
      <c r="F63" s="5" t="str">
        <f>IF('Jelenlét'!F63&gt;=1,'Jelenlét'!F63*'Jelenlét'!$Z63,"")</f>
        <v/>
      </c>
      <c r="G63" s="5" t="str">
        <f>IF('Jelenlét'!G63&gt;=1,'Jelenlét'!G63*'Jelenlét'!$Z63,"")</f>
        <v/>
      </c>
      <c r="H63" s="5" t="str">
        <f>IF('Jelenlét'!H63&gt;=1,'Jelenlét'!H63*'Jelenlét'!$Z63,"")</f>
        <v/>
      </c>
      <c r="I63" s="5" t="str">
        <f>IF('Jelenlét'!I63&gt;=1,'Jelenlét'!I63*'Jelenlét'!$Z63,"")</f>
        <v/>
      </c>
      <c r="J63" s="5" t="str">
        <f>IF('Jelenlét'!J63&gt;=1,'Jelenlét'!J63*'Jelenlét'!$Z63,"")</f>
        <v/>
      </c>
      <c r="K63" s="5" t="str">
        <f>IF('Jelenlét'!K63&gt;=1,'Jelenlét'!K63*'Jelenlét'!$Z63,"")</f>
        <v/>
      </c>
      <c r="L63" s="5" t="str">
        <f>IF('Jelenlét'!L63&gt;=1,'Jelenlét'!L63*'Jelenlét'!$Z63,"")</f>
        <v/>
      </c>
      <c r="M63" s="5" t="str">
        <f>IF('Jelenlét'!M63&gt;=1,'Jelenlét'!M63*'Jelenlét'!$Z63,"")</f>
        <v/>
      </c>
      <c r="N63" s="5" t="str">
        <f>IF('Jelenlét'!N63&gt;=1,'Jelenlét'!N63*'Jelenlét'!$Z63,"")</f>
        <v/>
      </c>
      <c r="O63" s="5" t="str">
        <f>IF('Jelenlét'!O63&gt;=1,'Jelenlét'!O63*'Jelenlét'!$Z63,"")</f>
        <v/>
      </c>
      <c r="P63" s="5" t="str">
        <f>IF('Jelenlét'!P63&gt;=1,'Jelenlét'!P63*'Jelenlét'!$Z63,"")</f>
        <v/>
      </c>
      <c r="Q63" s="5" t="str">
        <f>IF('Jelenlét'!Q63&gt;=1,'Jelenlét'!Q63*'Jelenlét'!$Z63,"")</f>
        <v/>
      </c>
      <c r="R63" s="5" t="str">
        <f>IF('Jelenlét'!R63&gt;=1,'Jelenlét'!R63*'Jelenlét'!$Z63,"")</f>
        <v/>
      </c>
      <c r="S63" s="5" t="str">
        <f>IF('Jelenlét'!S63&gt;=1,'Jelenlét'!S63*'Jelenlét'!$Z63,"")</f>
        <v/>
      </c>
      <c r="T63" s="5" t="str">
        <f>IF('Jelenlét'!T63&gt;=1,'Jelenlét'!T63*'Jelenlét'!$Z63,"")</f>
        <v/>
      </c>
      <c r="U63" s="5" t="str">
        <f>IF('Jelenlét'!U63&gt;=1,'Jelenlét'!U63*'Jelenlét'!$Z63,"")</f>
        <v/>
      </c>
      <c r="V63" s="5" t="str">
        <f>IF('Jelenlét'!V63&gt;=1,'Jelenlét'!V63*'Jelenlét'!$Z63,"")</f>
        <v/>
      </c>
    </row>
    <row r="64">
      <c r="A64" s="8">
        <v>46042.0</v>
      </c>
      <c r="B64" s="5" t="str">
        <f>IF('Jelenlét'!B64&gt;=1,'Jelenlét'!B64*'Jelenlét'!$Z64,"")</f>
        <v/>
      </c>
      <c r="C64" s="5" t="str">
        <f>IF('Jelenlét'!C64&gt;=1,'Jelenlét'!C64*'Jelenlét'!$Z64,"")</f>
        <v/>
      </c>
      <c r="D64" s="5" t="str">
        <f>IF('Jelenlét'!D64&gt;=1,'Jelenlét'!D64*'Jelenlét'!$Z64,"")</f>
        <v/>
      </c>
      <c r="E64" s="5" t="str">
        <f>IF('Jelenlét'!E64&gt;=1,'Jelenlét'!E64*'Jelenlét'!$Z64,"")</f>
        <v/>
      </c>
      <c r="F64" s="5" t="str">
        <f>IF('Jelenlét'!F64&gt;=1,'Jelenlét'!F64*'Jelenlét'!$Z64,"")</f>
        <v/>
      </c>
      <c r="G64" s="5" t="str">
        <f>IF('Jelenlét'!G64&gt;=1,'Jelenlét'!G64*'Jelenlét'!$Z64,"")</f>
        <v/>
      </c>
      <c r="H64" s="5" t="str">
        <f>IF('Jelenlét'!H64&gt;=1,'Jelenlét'!H64*'Jelenlét'!$Z64,"")</f>
        <v/>
      </c>
      <c r="I64" s="5" t="str">
        <f>IF('Jelenlét'!I64&gt;=1,'Jelenlét'!I64*'Jelenlét'!$Z64,"")</f>
        <v/>
      </c>
      <c r="J64" s="5" t="str">
        <f>IF('Jelenlét'!J64&gt;=1,'Jelenlét'!J64*'Jelenlét'!$Z64,"")</f>
        <v/>
      </c>
      <c r="K64" s="5" t="str">
        <f>IF('Jelenlét'!K64&gt;=1,'Jelenlét'!K64*'Jelenlét'!$Z64,"")</f>
        <v/>
      </c>
      <c r="L64" s="5" t="str">
        <f>IF('Jelenlét'!L64&gt;=1,'Jelenlét'!L64*'Jelenlét'!$Z64,"")</f>
        <v/>
      </c>
      <c r="M64" s="5" t="str">
        <f>IF('Jelenlét'!M64&gt;=1,'Jelenlét'!M64*'Jelenlét'!$Z64,"")</f>
        <v/>
      </c>
      <c r="N64" s="5" t="str">
        <f>IF('Jelenlét'!N64&gt;=1,'Jelenlét'!N64*'Jelenlét'!$Z64,"")</f>
        <v/>
      </c>
      <c r="O64" s="5" t="str">
        <f>IF('Jelenlét'!O64&gt;=1,'Jelenlét'!O64*'Jelenlét'!$Z64,"")</f>
        <v/>
      </c>
      <c r="P64" s="5" t="str">
        <f>IF('Jelenlét'!P64&gt;=1,'Jelenlét'!P64*'Jelenlét'!$Z64,"")</f>
        <v/>
      </c>
      <c r="Q64" s="5" t="str">
        <f>IF('Jelenlét'!Q64&gt;=1,'Jelenlét'!Q64*'Jelenlét'!$Z64,"")</f>
        <v/>
      </c>
      <c r="R64" s="5" t="str">
        <f>IF('Jelenlét'!R64&gt;=1,'Jelenlét'!R64*'Jelenlét'!$Z64,"")</f>
        <v/>
      </c>
      <c r="S64" s="5" t="str">
        <f>IF('Jelenlét'!S64&gt;=1,'Jelenlét'!S64*'Jelenlét'!$Z64,"")</f>
        <v/>
      </c>
      <c r="T64" s="5" t="str">
        <f>IF('Jelenlét'!T64&gt;=1,'Jelenlét'!T64*'Jelenlét'!$Z64,"")</f>
        <v/>
      </c>
      <c r="U64" s="5" t="str">
        <f>IF('Jelenlét'!U64&gt;=1,'Jelenlét'!U64*'Jelenlét'!$Z64,"")</f>
        <v/>
      </c>
      <c r="V64" s="5" t="str">
        <f>IF('Jelenlét'!V64&gt;=1,'Jelenlét'!V64*'Jelenlét'!$Z64,"")</f>
        <v/>
      </c>
    </row>
    <row r="65">
      <c r="A65" s="8">
        <v>46049.0</v>
      </c>
      <c r="B65" s="5" t="str">
        <f>IF('Jelenlét'!B65&gt;=1,'Jelenlét'!B65*'Jelenlét'!$Z65,"")</f>
        <v/>
      </c>
      <c r="C65" s="5" t="str">
        <f>IF('Jelenlét'!C65&gt;=1,'Jelenlét'!C65*'Jelenlét'!$Z65,"")</f>
        <v/>
      </c>
      <c r="D65" s="5" t="str">
        <f>IF('Jelenlét'!D65&gt;=1,'Jelenlét'!D65*'Jelenlét'!$Z65,"")</f>
        <v/>
      </c>
      <c r="E65" s="5" t="str">
        <f>IF('Jelenlét'!E65&gt;=1,'Jelenlét'!E65*'Jelenlét'!$Z65,"")</f>
        <v/>
      </c>
      <c r="F65" s="5" t="str">
        <f>IF('Jelenlét'!F65&gt;=1,'Jelenlét'!F65*'Jelenlét'!$Z65,"")</f>
        <v/>
      </c>
      <c r="G65" s="5" t="str">
        <f>IF('Jelenlét'!G65&gt;=1,'Jelenlét'!G65*'Jelenlét'!$Z65,"")</f>
        <v/>
      </c>
      <c r="H65" s="5" t="str">
        <f>IF('Jelenlét'!H65&gt;=1,'Jelenlét'!H65*'Jelenlét'!$Z65,"")</f>
        <v/>
      </c>
      <c r="I65" s="5" t="str">
        <f>IF('Jelenlét'!I65&gt;=1,'Jelenlét'!I65*'Jelenlét'!$Z65,"")</f>
        <v/>
      </c>
      <c r="J65" s="5" t="str">
        <f>IF('Jelenlét'!J65&gt;=1,'Jelenlét'!J65*'Jelenlét'!$Z65,"")</f>
        <v/>
      </c>
      <c r="K65" s="5" t="str">
        <f>IF('Jelenlét'!K65&gt;=1,'Jelenlét'!K65*'Jelenlét'!$Z65,"")</f>
        <v/>
      </c>
      <c r="L65" s="5" t="str">
        <f>IF('Jelenlét'!L65&gt;=1,'Jelenlét'!L65*'Jelenlét'!$Z65,"")</f>
        <v/>
      </c>
      <c r="M65" s="5" t="str">
        <f>IF('Jelenlét'!M65&gt;=1,'Jelenlét'!M65*'Jelenlét'!$Z65,"")</f>
        <v/>
      </c>
      <c r="N65" s="5" t="str">
        <f>IF('Jelenlét'!N65&gt;=1,'Jelenlét'!N65*'Jelenlét'!$Z65,"")</f>
        <v/>
      </c>
      <c r="O65" s="5" t="str">
        <f>IF('Jelenlét'!O65&gt;=1,'Jelenlét'!O65*'Jelenlét'!$Z65,"")</f>
        <v/>
      </c>
      <c r="P65" s="5" t="str">
        <f>IF('Jelenlét'!P65&gt;=1,'Jelenlét'!P65*'Jelenlét'!$Z65,"")</f>
        <v/>
      </c>
      <c r="Q65" s="5" t="str">
        <f>IF('Jelenlét'!Q65&gt;=1,'Jelenlét'!Q65*'Jelenlét'!$Z65,"")</f>
        <v/>
      </c>
      <c r="R65" s="5" t="str">
        <f>IF('Jelenlét'!R65&gt;=1,'Jelenlét'!R65*'Jelenlét'!$Z65,"")</f>
        <v/>
      </c>
      <c r="S65" s="5" t="str">
        <f>IF('Jelenlét'!S65&gt;=1,'Jelenlét'!S65*'Jelenlét'!$Z65,"")</f>
        <v/>
      </c>
      <c r="T65" s="5" t="str">
        <f>IF('Jelenlét'!T65&gt;=1,'Jelenlét'!T65*'Jelenlét'!$Z65,"")</f>
        <v/>
      </c>
      <c r="U65" s="5" t="str">
        <f>IF('Jelenlét'!U65&gt;=1,'Jelenlét'!U65*'Jelenlét'!$Z65,"")</f>
        <v/>
      </c>
      <c r="V65" s="5" t="str">
        <f>IF('Jelenlét'!V65&gt;=1,'Jelenlét'!V65*'Jelenlét'!$Z65,"")</f>
        <v/>
      </c>
    </row>
    <row r="66">
      <c r="A66" s="8">
        <v>46056.0</v>
      </c>
      <c r="B66" s="5" t="str">
        <f>IF('Jelenlét'!B66&gt;=1,'Jelenlét'!B66*'Jelenlét'!$Z66,"")</f>
        <v/>
      </c>
      <c r="C66" s="5" t="str">
        <f>IF('Jelenlét'!C66&gt;=1,'Jelenlét'!C66*'Jelenlét'!$Z66,"")</f>
        <v/>
      </c>
      <c r="D66" s="5" t="str">
        <f>IF('Jelenlét'!D66&gt;=1,'Jelenlét'!D66*'Jelenlét'!$Z66,"")</f>
        <v/>
      </c>
      <c r="E66" s="5" t="str">
        <f>IF('Jelenlét'!E66&gt;=1,'Jelenlét'!E66*'Jelenlét'!$Z66,"")</f>
        <v/>
      </c>
      <c r="F66" s="5" t="str">
        <f>IF('Jelenlét'!F66&gt;=1,'Jelenlét'!F66*'Jelenlét'!$Z66,"")</f>
        <v/>
      </c>
      <c r="G66" s="5" t="str">
        <f>IF('Jelenlét'!G66&gt;=1,'Jelenlét'!G66*'Jelenlét'!$Z66,"")</f>
        <v/>
      </c>
      <c r="H66" s="5" t="str">
        <f>IF('Jelenlét'!H66&gt;=1,'Jelenlét'!H66*'Jelenlét'!$Z66,"")</f>
        <v/>
      </c>
      <c r="I66" s="5" t="str">
        <f>IF('Jelenlét'!I66&gt;=1,'Jelenlét'!I66*'Jelenlét'!$Z66,"")</f>
        <v/>
      </c>
      <c r="J66" s="5" t="str">
        <f>IF('Jelenlét'!J66&gt;=1,'Jelenlét'!J66*'Jelenlét'!$Z66,"")</f>
        <v/>
      </c>
      <c r="K66" s="5" t="str">
        <f>IF('Jelenlét'!K66&gt;=1,'Jelenlét'!K66*'Jelenlét'!$Z66,"")</f>
        <v/>
      </c>
      <c r="L66" s="5" t="str">
        <f>IF('Jelenlét'!L66&gt;=1,'Jelenlét'!L66*'Jelenlét'!$Z66,"")</f>
        <v/>
      </c>
      <c r="M66" s="5" t="str">
        <f>IF('Jelenlét'!M66&gt;=1,'Jelenlét'!M66*'Jelenlét'!$Z66,"")</f>
        <v/>
      </c>
      <c r="N66" s="5" t="str">
        <f>IF('Jelenlét'!N66&gt;=1,'Jelenlét'!N66*'Jelenlét'!$Z66,"")</f>
        <v/>
      </c>
      <c r="O66" s="5" t="str">
        <f>IF('Jelenlét'!O66&gt;=1,'Jelenlét'!O66*'Jelenlét'!$Z66,"")</f>
        <v/>
      </c>
      <c r="P66" s="5" t="str">
        <f>IF('Jelenlét'!P66&gt;=1,'Jelenlét'!P66*'Jelenlét'!$Z66,"")</f>
        <v/>
      </c>
      <c r="Q66" s="5" t="str">
        <f>IF('Jelenlét'!Q66&gt;=1,'Jelenlét'!Q66*'Jelenlét'!$Z66,"")</f>
        <v/>
      </c>
      <c r="R66" s="5" t="str">
        <f>IF('Jelenlét'!R66&gt;=1,'Jelenlét'!R66*'Jelenlét'!$Z66,"")</f>
        <v/>
      </c>
      <c r="S66" s="5" t="str">
        <f>IF('Jelenlét'!S66&gt;=1,'Jelenlét'!S66*'Jelenlét'!$Z66,"")</f>
        <v/>
      </c>
      <c r="T66" s="5" t="str">
        <f>IF('Jelenlét'!T66&gt;=1,'Jelenlét'!T66*'Jelenlét'!$Z66,"")</f>
        <v/>
      </c>
      <c r="U66" s="5" t="str">
        <f>IF('Jelenlét'!U66&gt;=1,'Jelenlét'!U66*'Jelenlét'!$Z66,"")</f>
        <v/>
      </c>
      <c r="V66" s="5" t="str">
        <f>IF('Jelenlét'!V66&gt;=1,'Jelenlét'!V66*'Jelenlét'!$Z66,"")</f>
        <v/>
      </c>
    </row>
    <row r="67">
      <c r="A67" s="8">
        <v>46063.0</v>
      </c>
      <c r="B67" s="5" t="str">
        <f>IF('Jelenlét'!B67&gt;=1,'Jelenlét'!B67*'Jelenlét'!$Z67,"")</f>
        <v/>
      </c>
      <c r="C67" s="5" t="str">
        <f>IF('Jelenlét'!C67&gt;=1,'Jelenlét'!C67*'Jelenlét'!$Z67,"")</f>
        <v/>
      </c>
      <c r="D67" s="5" t="str">
        <f>IF('Jelenlét'!D67&gt;=1,'Jelenlét'!D67*'Jelenlét'!$Z67,"")</f>
        <v/>
      </c>
      <c r="E67" s="5" t="str">
        <f>IF('Jelenlét'!E67&gt;=1,'Jelenlét'!E67*'Jelenlét'!$Z67,"")</f>
        <v/>
      </c>
      <c r="F67" s="5" t="str">
        <f>IF('Jelenlét'!F67&gt;=1,'Jelenlét'!F67*'Jelenlét'!$Z67,"")</f>
        <v/>
      </c>
      <c r="G67" s="5" t="str">
        <f>IF('Jelenlét'!G67&gt;=1,'Jelenlét'!G67*'Jelenlét'!$Z67,"")</f>
        <v/>
      </c>
      <c r="H67" s="5" t="str">
        <f>IF('Jelenlét'!H67&gt;=1,'Jelenlét'!H67*'Jelenlét'!$Z67,"")</f>
        <v/>
      </c>
      <c r="I67" s="5" t="str">
        <f>IF('Jelenlét'!I67&gt;=1,'Jelenlét'!I67*'Jelenlét'!$Z67,"")</f>
        <v/>
      </c>
      <c r="J67" s="5" t="str">
        <f>IF('Jelenlét'!J67&gt;=1,'Jelenlét'!J67*'Jelenlét'!$Z67,"")</f>
        <v/>
      </c>
      <c r="K67" s="5" t="str">
        <f>IF('Jelenlét'!K67&gt;=1,'Jelenlét'!K67*'Jelenlét'!$Z67,"")</f>
        <v/>
      </c>
      <c r="L67" s="5" t="str">
        <f>IF('Jelenlét'!L67&gt;=1,'Jelenlét'!L67*'Jelenlét'!$Z67,"")</f>
        <v/>
      </c>
      <c r="M67" s="5" t="str">
        <f>IF('Jelenlét'!M67&gt;=1,'Jelenlét'!M67*'Jelenlét'!$Z67,"")</f>
        <v/>
      </c>
      <c r="N67" s="5" t="str">
        <f>IF('Jelenlét'!N67&gt;=1,'Jelenlét'!N67*'Jelenlét'!$Z67,"")</f>
        <v/>
      </c>
      <c r="O67" s="5" t="str">
        <f>IF('Jelenlét'!O67&gt;=1,'Jelenlét'!O67*'Jelenlét'!$Z67,"")</f>
        <v/>
      </c>
      <c r="P67" s="5" t="str">
        <f>IF('Jelenlét'!P67&gt;=1,'Jelenlét'!P67*'Jelenlét'!$Z67,"")</f>
        <v/>
      </c>
      <c r="Q67" s="5" t="str">
        <f>IF('Jelenlét'!Q67&gt;=1,'Jelenlét'!Q67*'Jelenlét'!$Z67,"")</f>
        <v/>
      </c>
      <c r="R67" s="5" t="str">
        <f>IF('Jelenlét'!R67&gt;=1,'Jelenlét'!R67*'Jelenlét'!$Z67,"")</f>
        <v/>
      </c>
      <c r="S67" s="5" t="str">
        <f>IF('Jelenlét'!S67&gt;=1,'Jelenlét'!S67*'Jelenlét'!$Z67,"")</f>
        <v/>
      </c>
      <c r="T67" s="5" t="str">
        <f>IF('Jelenlét'!T67&gt;=1,'Jelenlét'!T67*'Jelenlét'!$Z67,"")</f>
        <v/>
      </c>
      <c r="U67" s="5" t="str">
        <f>IF('Jelenlét'!U67&gt;=1,'Jelenlét'!U67*'Jelenlét'!$Z67,"")</f>
        <v/>
      </c>
      <c r="V67" s="5" t="str">
        <f>IF('Jelenlét'!V67&gt;=1,'Jelenlét'!V67*'Jelenlét'!$Z67,"")</f>
        <v/>
      </c>
    </row>
    <row r="68">
      <c r="A68" s="8">
        <v>46070.0</v>
      </c>
      <c r="B68" s="5" t="str">
        <f>IF('Jelenlét'!B68&gt;=1,'Jelenlét'!B68*'Jelenlét'!$Z68,"")</f>
        <v/>
      </c>
      <c r="C68" s="5" t="str">
        <f>IF('Jelenlét'!C68&gt;=1,'Jelenlét'!C68*'Jelenlét'!$Z68,"")</f>
        <v/>
      </c>
      <c r="D68" s="5" t="str">
        <f>IF('Jelenlét'!D68&gt;=1,'Jelenlét'!D68*'Jelenlét'!$Z68,"")</f>
        <v/>
      </c>
      <c r="E68" s="5" t="str">
        <f>IF('Jelenlét'!E68&gt;=1,'Jelenlét'!E68*'Jelenlét'!$Z68,"")</f>
        <v/>
      </c>
      <c r="F68" s="5" t="str">
        <f>IF('Jelenlét'!F68&gt;=1,'Jelenlét'!F68*'Jelenlét'!$Z68,"")</f>
        <v/>
      </c>
      <c r="G68" s="5" t="str">
        <f>IF('Jelenlét'!G68&gt;=1,'Jelenlét'!G68*'Jelenlét'!$Z68,"")</f>
        <v/>
      </c>
      <c r="H68" s="5" t="str">
        <f>IF('Jelenlét'!H68&gt;=1,'Jelenlét'!H68*'Jelenlét'!$Z68,"")</f>
        <v/>
      </c>
      <c r="I68" s="5" t="str">
        <f>IF('Jelenlét'!I68&gt;=1,'Jelenlét'!I68*'Jelenlét'!$Z68,"")</f>
        <v/>
      </c>
      <c r="J68" s="5" t="str">
        <f>IF('Jelenlét'!J68&gt;=1,'Jelenlét'!J68*'Jelenlét'!$Z68,"")</f>
        <v/>
      </c>
      <c r="K68" s="5" t="str">
        <f>IF('Jelenlét'!K68&gt;=1,'Jelenlét'!K68*'Jelenlét'!$Z68,"")</f>
        <v/>
      </c>
      <c r="L68" s="5" t="str">
        <f>IF('Jelenlét'!L68&gt;=1,'Jelenlét'!L68*'Jelenlét'!$Z68,"")</f>
        <v/>
      </c>
      <c r="M68" s="5" t="str">
        <f>IF('Jelenlét'!M68&gt;=1,'Jelenlét'!M68*'Jelenlét'!$Z68,"")</f>
        <v/>
      </c>
      <c r="N68" s="5" t="str">
        <f>IF('Jelenlét'!N68&gt;=1,'Jelenlét'!N68*'Jelenlét'!$Z68,"")</f>
        <v/>
      </c>
      <c r="O68" s="5" t="str">
        <f>IF('Jelenlét'!O68&gt;=1,'Jelenlét'!O68*'Jelenlét'!$Z68,"")</f>
        <v/>
      </c>
      <c r="P68" s="5" t="str">
        <f>IF('Jelenlét'!P68&gt;=1,'Jelenlét'!P68*'Jelenlét'!$Z68,"")</f>
        <v/>
      </c>
      <c r="Q68" s="5" t="str">
        <f>IF('Jelenlét'!Q68&gt;=1,'Jelenlét'!Q68*'Jelenlét'!$Z68,"")</f>
        <v/>
      </c>
      <c r="R68" s="5" t="str">
        <f>IF('Jelenlét'!R68&gt;=1,'Jelenlét'!R68*'Jelenlét'!$Z68,"")</f>
        <v/>
      </c>
      <c r="S68" s="5" t="str">
        <f>IF('Jelenlét'!S68&gt;=1,'Jelenlét'!S68*'Jelenlét'!$Z68,"")</f>
        <v/>
      </c>
      <c r="T68" s="5" t="str">
        <f>IF('Jelenlét'!T68&gt;=1,'Jelenlét'!T68*'Jelenlét'!$Z68,"")</f>
        <v/>
      </c>
      <c r="U68" s="5" t="str">
        <f>IF('Jelenlét'!U68&gt;=1,'Jelenlét'!U68*'Jelenlét'!$Z68,"")</f>
        <v/>
      </c>
      <c r="V68" s="5" t="str">
        <f>IF('Jelenlét'!V68&gt;=1,'Jelenlét'!V68*'Jelenlét'!$Z68,"")</f>
        <v/>
      </c>
    </row>
    <row r="69">
      <c r="A69" s="8">
        <v>46077.0</v>
      </c>
      <c r="B69" s="5" t="str">
        <f>IF('Jelenlét'!B69&gt;=1,'Jelenlét'!B69*'Jelenlét'!$Z69,"")</f>
        <v/>
      </c>
      <c r="C69" s="5" t="str">
        <f>IF('Jelenlét'!C69&gt;=1,'Jelenlét'!C69*'Jelenlét'!$Z69,"")</f>
        <v/>
      </c>
      <c r="D69" s="5" t="str">
        <f>IF('Jelenlét'!D69&gt;=1,'Jelenlét'!D69*'Jelenlét'!$Z69,"")</f>
        <v/>
      </c>
      <c r="E69" s="5" t="str">
        <f>IF('Jelenlét'!E69&gt;=1,'Jelenlét'!E69*'Jelenlét'!$Z69,"")</f>
        <v/>
      </c>
      <c r="F69" s="5" t="str">
        <f>IF('Jelenlét'!F69&gt;=1,'Jelenlét'!F69*'Jelenlét'!$Z69,"")</f>
        <v/>
      </c>
      <c r="G69" s="5" t="str">
        <f>IF('Jelenlét'!G69&gt;=1,'Jelenlét'!G69*'Jelenlét'!$Z69,"")</f>
        <v/>
      </c>
      <c r="H69" s="5" t="str">
        <f>IF('Jelenlét'!H69&gt;=1,'Jelenlét'!H69*'Jelenlét'!$Z69,"")</f>
        <v/>
      </c>
      <c r="I69" s="5" t="str">
        <f>IF('Jelenlét'!I69&gt;=1,'Jelenlét'!I69*'Jelenlét'!$Z69,"")</f>
        <v/>
      </c>
      <c r="J69" s="5" t="str">
        <f>IF('Jelenlét'!J69&gt;=1,'Jelenlét'!J69*'Jelenlét'!$Z69,"")</f>
        <v/>
      </c>
      <c r="K69" s="5" t="str">
        <f>IF('Jelenlét'!K69&gt;=1,'Jelenlét'!K69*'Jelenlét'!$Z69,"")</f>
        <v/>
      </c>
      <c r="L69" s="5" t="str">
        <f>IF('Jelenlét'!L69&gt;=1,'Jelenlét'!L69*'Jelenlét'!$Z69,"")</f>
        <v/>
      </c>
      <c r="M69" s="5" t="str">
        <f>IF('Jelenlét'!M69&gt;=1,'Jelenlét'!M69*'Jelenlét'!$Z69,"")</f>
        <v/>
      </c>
      <c r="N69" s="5" t="str">
        <f>IF('Jelenlét'!N69&gt;=1,'Jelenlét'!N69*'Jelenlét'!$Z69,"")</f>
        <v/>
      </c>
      <c r="O69" s="5" t="str">
        <f>IF('Jelenlét'!O69&gt;=1,'Jelenlét'!O69*'Jelenlét'!$Z69,"")</f>
        <v/>
      </c>
      <c r="P69" s="5" t="str">
        <f>IF('Jelenlét'!P69&gt;=1,'Jelenlét'!P69*'Jelenlét'!$Z69,"")</f>
        <v/>
      </c>
      <c r="Q69" s="5" t="str">
        <f>IF('Jelenlét'!Q69&gt;=1,'Jelenlét'!Q69*'Jelenlét'!$Z69,"")</f>
        <v/>
      </c>
      <c r="R69" s="5" t="str">
        <f>IF('Jelenlét'!R69&gt;=1,'Jelenlét'!R69*'Jelenlét'!$Z69,"")</f>
        <v/>
      </c>
      <c r="S69" s="5" t="str">
        <f>IF('Jelenlét'!S69&gt;=1,'Jelenlét'!S69*'Jelenlét'!$Z69,"")</f>
        <v/>
      </c>
      <c r="T69" s="5" t="str">
        <f>IF('Jelenlét'!T69&gt;=1,'Jelenlét'!T69*'Jelenlét'!$Z69,"")</f>
        <v/>
      </c>
      <c r="U69" s="5" t="str">
        <f>IF('Jelenlét'!U69&gt;=1,'Jelenlét'!U69*'Jelenlét'!$Z69,"")</f>
        <v/>
      </c>
      <c r="V69" s="5" t="str">
        <f>IF('Jelenlét'!V69&gt;=1,'Jelenlét'!V69*'Jelenlét'!$Z69,"")</f>
        <v/>
      </c>
    </row>
    <row r="70">
      <c r="A70" s="8">
        <v>46084.0</v>
      </c>
      <c r="B70" s="5" t="str">
        <f>IF('Jelenlét'!B70&gt;=1,'Jelenlét'!B70*'Jelenlét'!$Z70,"")</f>
        <v/>
      </c>
      <c r="C70" s="5" t="str">
        <f>IF('Jelenlét'!C70&gt;=1,'Jelenlét'!C70*'Jelenlét'!$Z70,"")</f>
        <v/>
      </c>
      <c r="D70" s="5" t="str">
        <f>IF('Jelenlét'!D70&gt;=1,'Jelenlét'!D70*'Jelenlét'!$Z70,"")</f>
        <v/>
      </c>
      <c r="E70" s="5" t="str">
        <f>IF('Jelenlét'!E70&gt;=1,'Jelenlét'!E70*'Jelenlét'!$Z70,"")</f>
        <v/>
      </c>
      <c r="F70" s="5" t="str">
        <f>IF('Jelenlét'!F70&gt;=1,'Jelenlét'!F70*'Jelenlét'!$Z70,"")</f>
        <v/>
      </c>
      <c r="G70" s="5" t="str">
        <f>IF('Jelenlét'!G70&gt;=1,'Jelenlét'!G70*'Jelenlét'!$Z70,"")</f>
        <v/>
      </c>
      <c r="H70" s="5" t="str">
        <f>IF('Jelenlét'!H70&gt;=1,'Jelenlét'!H70*'Jelenlét'!$Z70,"")</f>
        <v/>
      </c>
      <c r="I70" s="5" t="str">
        <f>IF('Jelenlét'!I70&gt;=1,'Jelenlét'!I70*'Jelenlét'!$Z70,"")</f>
        <v/>
      </c>
      <c r="J70" s="5" t="str">
        <f>IF('Jelenlét'!J70&gt;=1,'Jelenlét'!J70*'Jelenlét'!$Z70,"")</f>
        <v/>
      </c>
      <c r="K70" s="5" t="str">
        <f>IF('Jelenlét'!K70&gt;=1,'Jelenlét'!K70*'Jelenlét'!$Z70,"")</f>
        <v/>
      </c>
      <c r="L70" s="5" t="str">
        <f>IF('Jelenlét'!L70&gt;=1,'Jelenlét'!L70*'Jelenlét'!$Z70,"")</f>
        <v/>
      </c>
      <c r="M70" s="5" t="str">
        <f>IF('Jelenlét'!M70&gt;=1,'Jelenlét'!M70*'Jelenlét'!$Z70,"")</f>
        <v/>
      </c>
      <c r="N70" s="5" t="str">
        <f>IF('Jelenlét'!N70&gt;=1,'Jelenlét'!N70*'Jelenlét'!$Z70,"")</f>
        <v/>
      </c>
      <c r="O70" s="5" t="str">
        <f>IF('Jelenlét'!O70&gt;=1,'Jelenlét'!O70*'Jelenlét'!$Z70,"")</f>
        <v/>
      </c>
      <c r="P70" s="5" t="str">
        <f>IF('Jelenlét'!P70&gt;=1,'Jelenlét'!P70*'Jelenlét'!$Z70,"")</f>
        <v/>
      </c>
      <c r="Q70" s="5" t="str">
        <f>IF('Jelenlét'!Q70&gt;=1,'Jelenlét'!Q70*'Jelenlét'!$Z70,"")</f>
        <v/>
      </c>
      <c r="R70" s="5" t="str">
        <f>IF('Jelenlét'!R70&gt;=1,'Jelenlét'!R70*'Jelenlét'!$Z70,"")</f>
        <v/>
      </c>
      <c r="S70" s="5" t="str">
        <f>IF('Jelenlét'!S70&gt;=1,'Jelenlét'!S70*'Jelenlét'!$Z70,"")</f>
        <v/>
      </c>
      <c r="T70" s="5" t="str">
        <f>IF('Jelenlét'!T70&gt;=1,'Jelenlét'!T70*'Jelenlét'!$Z70,"")</f>
        <v/>
      </c>
      <c r="U70" s="5" t="str">
        <f>IF('Jelenlét'!U70&gt;=1,'Jelenlét'!U70*'Jelenlét'!$Z70,"")</f>
        <v/>
      </c>
      <c r="V70" s="5" t="str">
        <f>IF('Jelenlét'!V70&gt;=1,'Jelenlét'!V70*'Jelenlét'!$Z70,"")</f>
        <v/>
      </c>
    </row>
    <row r="71">
      <c r="A71" s="8">
        <v>46091.0</v>
      </c>
      <c r="B71" s="5" t="str">
        <f>IF('Jelenlét'!B71&gt;=1,'Jelenlét'!B71*'Jelenlét'!$Z71,"")</f>
        <v/>
      </c>
      <c r="C71" s="5" t="str">
        <f>IF('Jelenlét'!C71&gt;=1,'Jelenlét'!C71*'Jelenlét'!$Z71,"")</f>
        <v/>
      </c>
      <c r="D71" s="5" t="str">
        <f>IF('Jelenlét'!D71&gt;=1,'Jelenlét'!D71*'Jelenlét'!$Z71,"")</f>
        <v/>
      </c>
      <c r="E71" s="5" t="str">
        <f>IF('Jelenlét'!E71&gt;=1,'Jelenlét'!E71*'Jelenlét'!$Z71,"")</f>
        <v/>
      </c>
      <c r="F71" s="5" t="str">
        <f>IF('Jelenlét'!F71&gt;=1,'Jelenlét'!F71*'Jelenlét'!$Z71,"")</f>
        <v/>
      </c>
      <c r="G71" s="5" t="str">
        <f>IF('Jelenlét'!G71&gt;=1,'Jelenlét'!G71*'Jelenlét'!$Z71,"")</f>
        <v/>
      </c>
      <c r="H71" s="5" t="str">
        <f>IF('Jelenlét'!H71&gt;=1,'Jelenlét'!H71*'Jelenlét'!$Z71,"")</f>
        <v/>
      </c>
      <c r="I71" s="5" t="str">
        <f>IF('Jelenlét'!I71&gt;=1,'Jelenlét'!I71*'Jelenlét'!$Z71,"")</f>
        <v/>
      </c>
      <c r="J71" s="5" t="str">
        <f>IF('Jelenlét'!J71&gt;=1,'Jelenlét'!J71*'Jelenlét'!$Z71,"")</f>
        <v/>
      </c>
      <c r="K71" s="5" t="str">
        <f>IF('Jelenlét'!K71&gt;=1,'Jelenlét'!K71*'Jelenlét'!$Z71,"")</f>
        <v/>
      </c>
      <c r="L71" s="5" t="str">
        <f>IF('Jelenlét'!L71&gt;=1,'Jelenlét'!L71*'Jelenlét'!$Z71,"")</f>
        <v/>
      </c>
      <c r="M71" s="5" t="str">
        <f>IF('Jelenlét'!M71&gt;=1,'Jelenlét'!M71*'Jelenlét'!$Z71,"")</f>
        <v/>
      </c>
      <c r="N71" s="5" t="str">
        <f>IF('Jelenlét'!N71&gt;=1,'Jelenlét'!N71*'Jelenlét'!$Z71,"")</f>
        <v/>
      </c>
      <c r="O71" s="5" t="str">
        <f>IF('Jelenlét'!O71&gt;=1,'Jelenlét'!O71*'Jelenlét'!$Z71,"")</f>
        <v/>
      </c>
      <c r="P71" s="5" t="str">
        <f>IF('Jelenlét'!P71&gt;=1,'Jelenlét'!P71*'Jelenlét'!$Z71,"")</f>
        <v/>
      </c>
      <c r="Q71" s="5" t="str">
        <f>IF('Jelenlét'!Q71&gt;=1,'Jelenlét'!Q71*'Jelenlét'!$Z71,"")</f>
        <v/>
      </c>
      <c r="R71" s="5" t="str">
        <f>IF('Jelenlét'!R71&gt;=1,'Jelenlét'!R71*'Jelenlét'!$Z71,"")</f>
        <v/>
      </c>
      <c r="S71" s="5" t="str">
        <f>IF('Jelenlét'!S71&gt;=1,'Jelenlét'!S71*'Jelenlét'!$Z71,"")</f>
        <v/>
      </c>
      <c r="T71" s="5" t="str">
        <f>IF('Jelenlét'!T71&gt;=1,'Jelenlét'!T71*'Jelenlét'!$Z71,"")</f>
        <v/>
      </c>
      <c r="U71" s="5" t="str">
        <f>IF('Jelenlét'!U71&gt;=1,'Jelenlét'!U71*'Jelenlét'!$Z71,"")</f>
        <v/>
      </c>
      <c r="V71" s="5" t="str">
        <f>IF('Jelenlét'!V71&gt;=1,'Jelenlét'!V71*'Jelenlét'!$Z71,"")</f>
        <v/>
      </c>
    </row>
    <row r="72">
      <c r="A72" s="8">
        <v>46098.0</v>
      </c>
      <c r="B72" s="5" t="str">
        <f>IF('Jelenlét'!B72&gt;=1,'Jelenlét'!B72*'Jelenlét'!$Z72,"")</f>
        <v/>
      </c>
      <c r="C72" s="5" t="str">
        <f>IF('Jelenlét'!C72&gt;=1,'Jelenlét'!C72*'Jelenlét'!$Z72,"")</f>
        <v/>
      </c>
      <c r="D72" s="5" t="str">
        <f>IF('Jelenlét'!D72&gt;=1,'Jelenlét'!D72*'Jelenlét'!$Z72,"")</f>
        <v/>
      </c>
      <c r="E72" s="5" t="str">
        <f>IF('Jelenlét'!E72&gt;=1,'Jelenlét'!E72*'Jelenlét'!$Z72,"")</f>
        <v/>
      </c>
      <c r="F72" s="5" t="str">
        <f>IF('Jelenlét'!F72&gt;=1,'Jelenlét'!F72*'Jelenlét'!$Z72,"")</f>
        <v/>
      </c>
      <c r="G72" s="5" t="str">
        <f>IF('Jelenlét'!G72&gt;=1,'Jelenlét'!G72*'Jelenlét'!$Z72,"")</f>
        <v/>
      </c>
      <c r="H72" s="5" t="str">
        <f>IF('Jelenlét'!H72&gt;=1,'Jelenlét'!H72*'Jelenlét'!$Z72,"")</f>
        <v/>
      </c>
      <c r="I72" s="5" t="str">
        <f>IF('Jelenlét'!I72&gt;=1,'Jelenlét'!I72*'Jelenlét'!$Z72,"")</f>
        <v/>
      </c>
      <c r="J72" s="5" t="str">
        <f>IF('Jelenlét'!J72&gt;=1,'Jelenlét'!J72*'Jelenlét'!$Z72,"")</f>
        <v/>
      </c>
      <c r="K72" s="5" t="str">
        <f>IF('Jelenlét'!K72&gt;=1,'Jelenlét'!K72*'Jelenlét'!$Z72,"")</f>
        <v/>
      </c>
      <c r="L72" s="5" t="str">
        <f>IF('Jelenlét'!L72&gt;=1,'Jelenlét'!L72*'Jelenlét'!$Z72,"")</f>
        <v/>
      </c>
      <c r="M72" s="5" t="str">
        <f>IF('Jelenlét'!M72&gt;=1,'Jelenlét'!M72*'Jelenlét'!$Z72,"")</f>
        <v/>
      </c>
      <c r="N72" s="5" t="str">
        <f>IF('Jelenlét'!N72&gt;=1,'Jelenlét'!N72*'Jelenlét'!$Z72,"")</f>
        <v/>
      </c>
      <c r="O72" s="5" t="str">
        <f>IF('Jelenlét'!O72&gt;=1,'Jelenlét'!O72*'Jelenlét'!$Z72,"")</f>
        <v/>
      </c>
      <c r="P72" s="5" t="str">
        <f>IF('Jelenlét'!P72&gt;=1,'Jelenlét'!P72*'Jelenlét'!$Z72,"")</f>
        <v/>
      </c>
      <c r="Q72" s="5" t="str">
        <f>IF('Jelenlét'!Q72&gt;=1,'Jelenlét'!Q72*'Jelenlét'!$Z72,"")</f>
        <v/>
      </c>
      <c r="R72" s="5" t="str">
        <f>IF('Jelenlét'!R72&gt;=1,'Jelenlét'!R72*'Jelenlét'!$Z72,"")</f>
        <v/>
      </c>
      <c r="S72" s="5" t="str">
        <f>IF('Jelenlét'!S72&gt;=1,'Jelenlét'!S72*'Jelenlét'!$Z72,"")</f>
        <v/>
      </c>
      <c r="T72" s="5" t="str">
        <f>IF('Jelenlét'!T72&gt;=1,'Jelenlét'!T72*'Jelenlét'!$Z72,"")</f>
        <v/>
      </c>
      <c r="U72" s="5" t="str">
        <f>IF('Jelenlét'!U72&gt;=1,'Jelenlét'!U72*'Jelenlét'!$Z72,"")</f>
        <v/>
      </c>
      <c r="V72" s="5" t="str">
        <f>IF('Jelenlét'!V72&gt;=1,'Jelenlét'!V72*'Jelenlét'!$Z72,"")</f>
        <v/>
      </c>
    </row>
    <row r="73">
      <c r="A73" s="8">
        <v>46105.0</v>
      </c>
      <c r="B73" s="5" t="str">
        <f>IF('Jelenlét'!B73&gt;=1,'Jelenlét'!B73*'Jelenlét'!$Z73,"")</f>
        <v/>
      </c>
      <c r="C73" s="5" t="str">
        <f>IF('Jelenlét'!C73&gt;=1,'Jelenlét'!C73*'Jelenlét'!$Z73,"")</f>
        <v/>
      </c>
      <c r="D73" s="5" t="str">
        <f>IF('Jelenlét'!D73&gt;=1,'Jelenlét'!D73*'Jelenlét'!$Z73,"")</f>
        <v/>
      </c>
      <c r="E73" s="5" t="str">
        <f>IF('Jelenlét'!E73&gt;=1,'Jelenlét'!E73*'Jelenlét'!$Z73,"")</f>
        <v/>
      </c>
      <c r="F73" s="5" t="str">
        <f>IF('Jelenlét'!F73&gt;=1,'Jelenlét'!F73*'Jelenlét'!$Z73,"")</f>
        <v/>
      </c>
      <c r="G73" s="5" t="str">
        <f>IF('Jelenlét'!G73&gt;=1,'Jelenlét'!G73*'Jelenlét'!$Z73,"")</f>
        <v/>
      </c>
      <c r="H73" s="5" t="str">
        <f>IF('Jelenlét'!H73&gt;=1,'Jelenlét'!H73*'Jelenlét'!$Z73,"")</f>
        <v/>
      </c>
      <c r="I73" s="5" t="str">
        <f>IF('Jelenlét'!I73&gt;=1,'Jelenlét'!I73*'Jelenlét'!$Z73,"")</f>
        <v/>
      </c>
      <c r="J73" s="5" t="str">
        <f>IF('Jelenlét'!J73&gt;=1,'Jelenlét'!J73*'Jelenlét'!$Z73,"")</f>
        <v/>
      </c>
      <c r="K73" s="5" t="str">
        <f>IF('Jelenlét'!K73&gt;=1,'Jelenlét'!K73*'Jelenlét'!$Z73,"")</f>
        <v/>
      </c>
      <c r="L73" s="5" t="str">
        <f>IF('Jelenlét'!L73&gt;=1,'Jelenlét'!L73*'Jelenlét'!$Z73,"")</f>
        <v/>
      </c>
      <c r="M73" s="5" t="str">
        <f>IF('Jelenlét'!M73&gt;=1,'Jelenlét'!M73*'Jelenlét'!$Z73,"")</f>
        <v/>
      </c>
      <c r="N73" s="5" t="str">
        <f>IF('Jelenlét'!N73&gt;=1,'Jelenlét'!N73*'Jelenlét'!$Z73,"")</f>
        <v/>
      </c>
      <c r="O73" s="5" t="str">
        <f>IF('Jelenlét'!O73&gt;=1,'Jelenlét'!O73*'Jelenlét'!$Z73,"")</f>
        <v/>
      </c>
      <c r="P73" s="5" t="str">
        <f>IF('Jelenlét'!P73&gt;=1,'Jelenlét'!P73*'Jelenlét'!$Z73,"")</f>
        <v/>
      </c>
      <c r="Q73" s="5" t="str">
        <f>IF('Jelenlét'!Q73&gt;=1,'Jelenlét'!Q73*'Jelenlét'!$Z73,"")</f>
        <v/>
      </c>
      <c r="R73" s="5" t="str">
        <f>IF('Jelenlét'!R73&gt;=1,'Jelenlét'!R73*'Jelenlét'!$Z73,"")</f>
        <v/>
      </c>
      <c r="S73" s="5" t="str">
        <f>IF('Jelenlét'!S73&gt;=1,'Jelenlét'!S73*'Jelenlét'!$Z73,"")</f>
        <v/>
      </c>
      <c r="T73" s="5" t="str">
        <f>IF('Jelenlét'!T73&gt;=1,'Jelenlét'!T73*'Jelenlét'!$Z73,"")</f>
        <v/>
      </c>
      <c r="U73" s="5" t="str">
        <f>IF('Jelenlét'!U73&gt;=1,'Jelenlét'!U73*'Jelenlét'!$Z73,"")</f>
        <v/>
      </c>
      <c r="V73" s="5" t="str">
        <f>IF('Jelenlét'!V73&gt;=1,'Jelenlét'!V73*'Jelenlét'!$Z73,"")</f>
        <v/>
      </c>
    </row>
    <row r="74">
      <c r="A74" s="8">
        <v>46112.0</v>
      </c>
      <c r="B74" s="5" t="str">
        <f>IF('Jelenlét'!B74&gt;=1,'Jelenlét'!B74*'Jelenlét'!$Z74,"")</f>
        <v/>
      </c>
      <c r="C74" s="5" t="str">
        <f>IF('Jelenlét'!C74&gt;=1,'Jelenlét'!C74*'Jelenlét'!$Z74,"")</f>
        <v/>
      </c>
      <c r="D74" s="5" t="str">
        <f>IF('Jelenlét'!D74&gt;=1,'Jelenlét'!D74*'Jelenlét'!$Z74,"")</f>
        <v/>
      </c>
      <c r="E74" s="5" t="str">
        <f>IF('Jelenlét'!E74&gt;=1,'Jelenlét'!E74*'Jelenlét'!$Z74,"")</f>
        <v/>
      </c>
      <c r="F74" s="5" t="str">
        <f>IF('Jelenlét'!F74&gt;=1,'Jelenlét'!F74*'Jelenlét'!$Z74,"")</f>
        <v/>
      </c>
      <c r="G74" s="5" t="str">
        <f>IF('Jelenlét'!G74&gt;=1,'Jelenlét'!G74*'Jelenlét'!$Z74,"")</f>
        <v/>
      </c>
      <c r="H74" s="5" t="str">
        <f>IF('Jelenlét'!H74&gt;=1,'Jelenlét'!H74*'Jelenlét'!$Z74,"")</f>
        <v/>
      </c>
      <c r="I74" s="5" t="str">
        <f>IF('Jelenlét'!I74&gt;=1,'Jelenlét'!I74*'Jelenlét'!$Z74,"")</f>
        <v/>
      </c>
      <c r="J74" s="5" t="str">
        <f>IF('Jelenlét'!J74&gt;=1,'Jelenlét'!J74*'Jelenlét'!$Z74,"")</f>
        <v/>
      </c>
      <c r="K74" s="5" t="str">
        <f>IF('Jelenlét'!K74&gt;=1,'Jelenlét'!K74*'Jelenlét'!$Z74,"")</f>
        <v/>
      </c>
      <c r="L74" s="5" t="str">
        <f>IF('Jelenlét'!L74&gt;=1,'Jelenlét'!L74*'Jelenlét'!$Z74,"")</f>
        <v/>
      </c>
      <c r="M74" s="5" t="str">
        <f>IF('Jelenlét'!M74&gt;=1,'Jelenlét'!M74*'Jelenlét'!$Z74,"")</f>
        <v/>
      </c>
      <c r="N74" s="5" t="str">
        <f>IF('Jelenlét'!N74&gt;=1,'Jelenlét'!N74*'Jelenlét'!$Z74,"")</f>
        <v/>
      </c>
      <c r="O74" s="5" t="str">
        <f>IF('Jelenlét'!O74&gt;=1,'Jelenlét'!O74*'Jelenlét'!$Z74,"")</f>
        <v/>
      </c>
      <c r="P74" s="5" t="str">
        <f>IF('Jelenlét'!P74&gt;=1,'Jelenlét'!P74*'Jelenlét'!$Z74,"")</f>
        <v/>
      </c>
      <c r="Q74" s="5" t="str">
        <f>IF('Jelenlét'!Q74&gt;=1,'Jelenlét'!Q74*'Jelenlét'!$Z74,"")</f>
        <v/>
      </c>
      <c r="R74" s="5" t="str">
        <f>IF('Jelenlét'!R74&gt;=1,'Jelenlét'!R74*'Jelenlét'!$Z74,"")</f>
        <v/>
      </c>
      <c r="S74" s="5" t="str">
        <f>IF('Jelenlét'!S74&gt;=1,'Jelenlét'!S74*'Jelenlét'!$Z74,"")</f>
        <v/>
      </c>
      <c r="T74" s="5" t="str">
        <f>IF('Jelenlét'!T74&gt;=1,'Jelenlét'!T74*'Jelenlét'!$Z74,"")</f>
        <v/>
      </c>
      <c r="U74" s="5" t="str">
        <f>IF('Jelenlét'!U74&gt;=1,'Jelenlét'!U74*'Jelenlét'!$Z74,"")</f>
        <v/>
      </c>
      <c r="V74" s="5" t="str">
        <f>IF('Jelenlét'!V74&gt;=1,'Jelenlét'!V74*'Jelenlét'!$Z74,"")</f>
        <v/>
      </c>
    </row>
    <row r="75">
      <c r="A75" s="8">
        <v>46119.0</v>
      </c>
      <c r="B75" s="5" t="str">
        <f>IF('Jelenlét'!B75&gt;=1,'Jelenlét'!B75*'Jelenlét'!$Z75,"")</f>
        <v/>
      </c>
      <c r="C75" s="5" t="str">
        <f>IF('Jelenlét'!C75&gt;=1,'Jelenlét'!C75*'Jelenlét'!$Z75,"")</f>
        <v/>
      </c>
      <c r="D75" s="5" t="str">
        <f>IF('Jelenlét'!D75&gt;=1,'Jelenlét'!D75*'Jelenlét'!$Z75,"")</f>
        <v/>
      </c>
      <c r="E75" s="5" t="str">
        <f>IF('Jelenlét'!E75&gt;=1,'Jelenlét'!E75*'Jelenlét'!$Z75,"")</f>
        <v/>
      </c>
      <c r="F75" s="5" t="str">
        <f>IF('Jelenlét'!F75&gt;=1,'Jelenlét'!F75*'Jelenlét'!$Z75,"")</f>
        <v/>
      </c>
      <c r="G75" s="5" t="str">
        <f>IF('Jelenlét'!G75&gt;=1,'Jelenlét'!G75*'Jelenlét'!$Z75,"")</f>
        <v/>
      </c>
      <c r="H75" s="5" t="str">
        <f>IF('Jelenlét'!H75&gt;=1,'Jelenlét'!H75*'Jelenlét'!$Z75,"")</f>
        <v/>
      </c>
      <c r="I75" s="5" t="str">
        <f>IF('Jelenlét'!I75&gt;=1,'Jelenlét'!I75*'Jelenlét'!$Z75,"")</f>
        <v/>
      </c>
      <c r="J75" s="5" t="str">
        <f>IF('Jelenlét'!J75&gt;=1,'Jelenlét'!J75*'Jelenlét'!$Z75,"")</f>
        <v/>
      </c>
      <c r="K75" s="5" t="str">
        <f>IF('Jelenlét'!K75&gt;=1,'Jelenlét'!K75*'Jelenlét'!$Z75,"")</f>
        <v/>
      </c>
      <c r="L75" s="5" t="str">
        <f>IF('Jelenlét'!L75&gt;=1,'Jelenlét'!L75*'Jelenlét'!$Z75,"")</f>
        <v/>
      </c>
      <c r="M75" s="5" t="str">
        <f>IF('Jelenlét'!M75&gt;=1,'Jelenlét'!M75*'Jelenlét'!$Z75,"")</f>
        <v/>
      </c>
      <c r="N75" s="5" t="str">
        <f>IF('Jelenlét'!N75&gt;=1,'Jelenlét'!N75*'Jelenlét'!$Z75,"")</f>
        <v/>
      </c>
      <c r="O75" s="5" t="str">
        <f>IF('Jelenlét'!O75&gt;=1,'Jelenlét'!O75*'Jelenlét'!$Z75,"")</f>
        <v/>
      </c>
      <c r="P75" s="5" t="str">
        <f>IF('Jelenlét'!P75&gt;=1,'Jelenlét'!P75*'Jelenlét'!$Z75,"")</f>
        <v/>
      </c>
      <c r="Q75" s="5" t="str">
        <f>IF('Jelenlét'!Q75&gt;=1,'Jelenlét'!Q75*'Jelenlét'!$Z75,"")</f>
        <v/>
      </c>
      <c r="R75" s="5" t="str">
        <f>IF('Jelenlét'!R75&gt;=1,'Jelenlét'!R75*'Jelenlét'!$Z75,"")</f>
        <v/>
      </c>
      <c r="S75" s="5" t="str">
        <f>IF('Jelenlét'!S75&gt;=1,'Jelenlét'!S75*'Jelenlét'!$Z75,"")</f>
        <v/>
      </c>
      <c r="T75" s="5" t="str">
        <f>IF('Jelenlét'!T75&gt;=1,'Jelenlét'!T75*'Jelenlét'!$Z75,"")</f>
        <v/>
      </c>
      <c r="U75" s="5" t="str">
        <f>IF('Jelenlét'!U75&gt;=1,'Jelenlét'!U75*'Jelenlét'!$Z75,"")</f>
        <v/>
      </c>
      <c r="V75" s="5" t="str">
        <f>IF('Jelenlét'!V75&gt;=1,'Jelenlét'!V75*'Jelenlét'!$Z75,"")</f>
        <v/>
      </c>
    </row>
    <row r="76">
      <c r="A76" s="8">
        <v>46126.0</v>
      </c>
      <c r="B76" s="5" t="str">
        <f>IF('Jelenlét'!B76&gt;=1,'Jelenlét'!B76*'Jelenlét'!$Z76,"")</f>
        <v/>
      </c>
      <c r="C76" s="5" t="str">
        <f>IF('Jelenlét'!C76&gt;=1,'Jelenlét'!C76*'Jelenlét'!$Z76,"")</f>
        <v/>
      </c>
      <c r="D76" s="5" t="str">
        <f>IF('Jelenlét'!D76&gt;=1,'Jelenlét'!D76*'Jelenlét'!$Z76,"")</f>
        <v/>
      </c>
      <c r="E76" s="5" t="str">
        <f>IF('Jelenlét'!E76&gt;=1,'Jelenlét'!E76*'Jelenlét'!$Z76,"")</f>
        <v/>
      </c>
      <c r="F76" s="5" t="str">
        <f>IF('Jelenlét'!F76&gt;=1,'Jelenlét'!F76*'Jelenlét'!$Z76,"")</f>
        <v/>
      </c>
      <c r="G76" s="5" t="str">
        <f>IF('Jelenlét'!G76&gt;=1,'Jelenlét'!G76*'Jelenlét'!$Z76,"")</f>
        <v/>
      </c>
      <c r="H76" s="5" t="str">
        <f>IF('Jelenlét'!H76&gt;=1,'Jelenlét'!H76*'Jelenlét'!$Z76,"")</f>
        <v/>
      </c>
      <c r="I76" s="5" t="str">
        <f>IF('Jelenlét'!I76&gt;=1,'Jelenlét'!I76*'Jelenlét'!$Z76,"")</f>
        <v/>
      </c>
      <c r="J76" s="5" t="str">
        <f>IF('Jelenlét'!J76&gt;=1,'Jelenlét'!J76*'Jelenlét'!$Z76,"")</f>
        <v/>
      </c>
      <c r="K76" s="5" t="str">
        <f>IF('Jelenlét'!K76&gt;=1,'Jelenlét'!K76*'Jelenlét'!$Z76,"")</f>
        <v/>
      </c>
      <c r="L76" s="5" t="str">
        <f>IF('Jelenlét'!L76&gt;=1,'Jelenlét'!L76*'Jelenlét'!$Z76,"")</f>
        <v/>
      </c>
      <c r="M76" s="5" t="str">
        <f>IF('Jelenlét'!M76&gt;=1,'Jelenlét'!M76*'Jelenlét'!$Z76,"")</f>
        <v/>
      </c>
      <c r="N76" s="5" t="str">
        <f>IF('Jelenlét'!N76&gt;=1,'Jelenlét'!N76*'Jelenlét'!$Z76,"")</f>
        <v/>
      </c>
      <c r="O76" s="5" t="str">
        <f>IF('Jelenlét'!O76&gt;=1,'Jelenlét'!O76*'Jelenlét'!$Z76,"")</f>
        <v/>
      </c>
      <c r="P76" s="5" t="str">
        <f>IF('Jelenlét'!P76&gt;=1,'Jelenlét'!P76*'Jelenlét'!$Z76,"")</f>
        <v/>
      </c>
      <c r="Q76" s="5" t="str">
        <f>IF('Jelenlét'!Q76&gt;=1,'Jelenlét'!Q76*'Jelenlét'!$Z76,"")</f>
        <v/>
      </c>
      <c r="R76" s="5" t="str">
        <f>IF('Jelenlét'!R76&gt;=1,'Jelenlét'!R76*'Jelenlét'!$Z76,"")</f>
        <v/>
      </c>
      <c r="S76" s="5" t="str">
        <f>IF('Jelenlét'!S76&gt;=1,'Jelenlét'!S76*'Jelenlét'!$Z76,"")</f>
        <v/>
      </c>
      <c r="T76" s="5" t="str">
        <f>IF('Jelenlét'!T76&gt;=1,'Jelenlét'!T76*'Jelenlét'!$Z76,"")</f>
        <v/>
      </c>
      <c r="U76" s="5" t="str">
        <f>IF('Jelenlét'!U76&gt;=1,'Jelenlét'!U76*'Jelenlét'!$Z76,"")</f>
        <v/>
      </c>
      <c r="V76" s="5" t="str">
        <f>IF('Jelenlét'!V76&gt;=1,'Jelenlét'!V76*'Jelenlét'!$Z76,"")</f>
        <v/>
      </c>
    </row>
    <row r="77">
      <c r="A77" s="8">
        <v>46133.0</v>
      </c>
      <c r="B77" s="5" t="str">
        <f>IF('Jelenlét'!B77&gt;=1,'Jelenlét'!B77*'Jelenlét'!$Z77,"")</f>
        <v/>
      </c>
      <c r="C77" s="5" t="str">
        <f>IF('Jelenlét'!C77&gt;=1,'Jelenlét'!C77*'Jelenlét'!$Z77,"")</f>
        <v/>
      </c>
      <c r="D77" s="5" t="str">
        <f>IF('Jelenlét'!D77&gt;=1,'Jelenlét'!D77*'Jelenlét'!$Z77,"")</f>
        <v/>
      </c>
      <c r="E77" s="5" t="str">
        <f>IF('Jelenlét'!E77&gt;=1,'Jelenlét'!E77*'Jelenlét'!$Z77,"")</f>
        <v/>
      </c>
      <c r="F77" s="5" t="str">
        <f>IF('Jelenlét'!F77&gt;=1,'Jelenlét'!F77*'Jelenlét'!$Z77,"")</f>
        <v/>
      </c>
      <c r="G77" s="5" t="str">
        <f>IF('Jelenlét'!G77&gt;=1,'Jelenlét'!G77*'Jelenlét'!$Z77,"")</f>
        <v/>
      </c>
      <c r="H77" s="5" t="str">
        <f>IF('Jelenlét'!H77&gt;=1,'Jelenlét'!H77*'Jelenlét'!$Z77,"")</f>
        <v/>
      </c>
      <c r="I77" s="5" t="str">
        <f>IF('Jelenlét'!I77&gt;=1,'Jelenlét'!I77*'Jelenlét'!$Z77,"")</f>
        <v/>
      </c>
      <c r="J77" s="5" t="str">
        <f>IF('Jelenlét'!J77&gt;=1,'Jelenlét'!J77*'Jelenlét'!$Z77,"")</f>
        <v/>
      </c>
      <c r="K77" s="5" t="str">
        <f>IF('Jelenlét'!K77&gt;=1,'Jelenlét'!K77*'Jelenlét'!$Z77,"")</f>
        <v/>
      </c>
      <c r="L77" s="5" t="str">
        <f>IF('Jelenlét'!L77&gt;=1,'Jelenlét'!L77*'Jelenlét'!$Z77,"")</f>
        <v/>
      </c>
      <c r="M77" s="5" t="str">
        <f>IF('Jelenlét'!M77&gt;=1,'Jelenlét'!M77*'Jelenlét'!$Z77,"")</f>
        <v/>
      </c>
      <c r="N77" s="5" t="str">
        <f>IF('Jelenlét'!N77&gt;=1,'Jelenlét'!N77*'Jelenlét'!$Z77,"")</f>
        <v/>
      </c>
      <c r="O77" s="5" t="str">
        <f>IF('Jelenlét'!O77&gt;=1,'Jelenlét'!O77*'Jelenlét'!$Z77,"")</f>
        <v/>
      </c>
      <c r="P77" s="5" t="str">
        <f>IF('Jelenlét'!P77&gt;=1,'Jelenlét'!P77*'Jelenlét'!$Z77,"")</f>
        <v/>
      </c>
      <c r="Q77" s="5" t="str">
        <f>IF('Jelenlét'!Q77&gt;=1,'Jelenlét'!Q77*'Jelenlét'!$Z77,"")</f>
        <v/>
      </c>
      <c r="R77" s="5" t="str">
        <f>IF('Jelenlét'!R77&gt;=1,'Jelenlét'!R77*'Jelenlét'!$Z77,"")</f>
        <v/>
      </c>
      <c r="S77" s="5" t="str">
        <f>IF('Jelenlét'!S77&gt;=1,'Jelenlét'!S77*'Jelenlét'!$Z77,"")</f>
        <v/>
      </c>
      <c r="T77" s="5" t="str">
        <f>IF('Jelenlét'!T77&gt;=1,'Jelenlét'!T77*'Jelenlét'!$Z77,"")</f>
        <v/>
      </c>
      <c r="U77" s="5" t="str">
        <f>IF('Jelenlét'!U77&gt;=1,'Jelenlét'!U77*'Jelenlét'!$Z77,"")</f>
        <v/>
      </c>
      <c r="V77" s="5" t="str">
        <f>IF('Jelenlét'!V77&gt;=1,'Jelenlét'!V77*'Jelenlét'!$Z77,"")</f>
        <v/>
      </c>
    </row>
    <row r="78">
      <c r="A78" s="8">
        <v>46140.0</v>
      </c>
      <c r="B78" s="5" t="str">
        <f>IF('Jelenlét'!B78&gt;=1,'Jelenlét'!B78*'Jelenlét'!$Z78,"")</f>
        <v/>
      </c>
      <c r="C78" s="5" t="str">
        <f>IF('Jelenlét'!C78&gt;=1,'Jelenlét'!C78*'Jelenlét'!$Z78,"")</f>
        <v/>
      </c>
      <c r="D78" s="5" t="str">
        <f>IF('Jelenlét'!D78&gt;=1,'Jelenlét'!D78*'Jelenlét'!$Z78,"")</f>
        <v/>
      </c>
      <c r="E78" s="5" t="str">
        <f>IF('Jelenlét'!E78&gt;=1,'Jelenlét'!E78*'Jelenlét'!$Z78,"")</f>
        <v/>
      </c>
      <c r="F78" s="5" t="str">
        <f>IF('Jelenlét'!F78&gt;=1,'Jelenlét'!F78*'Jelenlét'!$Z78,"")</f>
        <v/>
      </c>
      <c r="G78" s="5" t="str">
        <f>IF('Jelenlét'!G78&gt;=1,'Jelenlét'!G78*'Jelenlét'!$Z78,"")</f>
        <v/>
      </c>
      <c r="H78" s="5" t="str">
        <f>IF('Jelenlét'!H78&gt;=1,'Jelenlét'!H78*'Jelenlét'!$Z78,"")</f>
        <v/>
      </c>
      <c r="I78" s="5" t="str">
        <f>IF('Jelenlét'!I78&gt;=1,'Jelenlét'!I78*'Jelenlét'!$Z78,"")</f>
        <v/>
      </c>
      <c r="J78" s="5" t="str">
        <f>IF('Jelenlét'!J78&gt;=1,'Jelenlét'!J78*'Jelenlét'!$Z78,"")</f>
        <v/>
      </c>
      <c r="K78" s="5" t="str">
        <f>IF('Jelenlét'!K78&gt;=1,'Jelenlét'!K78*'Jelenlét'!$Z78,"")</f>
        <v/>
      </c>
      <c r="L78" s="5" t="str">
        <f>IF('Jelenlét'!L78&gt;=1,'Jelenlét'!L78*'Jelenlét'!$Z78,"")</f>
        <v/>
      </c>
      <c r="M78" s="5" t="str">
        <f>IF('Jelenlét'!M78&gt;=1,'Jelenlét'!M78*'Jelenlét'!$Z78,"")</f>
        <v/>
      </c>
      <c r="N78" s="5" t="str">
        <f>IF('Jelenlét'!N78&gt;=1,'Jelenlét'!N78*'Jelenlét'!$Z78,"")</f>
        <v/>
      </c>
      <c r="O78" s="5" t="str">
        <f>IF('Jelenlét'!O78&gt;=1,'Jelenlét'!O78*'Jelenlét'!$Z78,"")</f>
        <v/>
      </c>
      <c r="P78" s="5" t="str">
        <f>IF('Jelenlét'!P78&gt;=1,'Jelenlét'!P78*'Jelenlét'!$Z78,"")</f>
        <v/>
      </c>
      <c r="Q78" s="5" t="str">
        <f>IF('Jelenlét'!Q78&gt;=1,'Jelenlét'!Q78*'Jelenlét'!$Z78,"")</f>
        <v/>
      </c>
      <c r="R78" s="5" t="str">
        <f>IF('Jelenlét'!R78&gt;=1,'Jelenlét'!R78*'Jelenlét'!$Z78,"")</f>
        <v/>
      </c>
      <c r="S78" s="5" t="str">
        <f>IF('Jelenlét'!S78&gt;=1,'Jelenlét'!S78*'Jelenlét'!$Z78,"")</f>
        <v/>
      </c>
      <c r="T78" s="5" t="str">
        <f>IF('Jelenlét'!T78&gt;=1,'Jelenlét'!T78*'Jelenlét'!$Z78,"")</f>
        <v/>
      </c>
      <c r="U78" s="5" t="str">
        <f>IF('Jelenlét'!U78&gt;=1,'Jelenlét'!U78*'Jelenlét'!$Z78,"")</f>
        <v/>
      </c>
      <c r="V78" s="5" t="str">
        <f>IF('Jelenlét'!V78&gt;=1,'Jelenlét'!V78*'Jelenlét'!$Z78,"")</f>
        <v/>
      </c>
    </row>
    <row r="79">
      <c r="A79" s="8">
        <v>46147.0</v>
      </c>
      <c r="B79" s="5" t="str">
        <f>IF('Jelenlét'!B79&gt;=1,'Jelenlét'!B79*'Jelenlét'!$Z79,"")</f>
        <v/>
      </c>
      <c r="C79" s="5" t="str">
        <f>IF('Jelenlét'!C79&gt;=1,'Jelenlét'!C79*'Jelenlét'!$Z79,"")</f>
        <v/>
      </c>
      <c r="D79" s="5" t="str">
        <f>IF('Jelenlét'!D79&gt;=1,'Jelenlét'!D79*'Jelenlét'!$Z79,"")</f>
        <v/>
      </c>
      <c r="E79" s="5" t="str">
        <f>IF('Jelenlét'!E79&gt;=1,'Jelenlét'!E79*'Jelenlét'!$Z79,"")</f>
        <v/>
      </c>
      <c r="F79" s="5" t="str">
        <f>IF('Jelenlét'!F79&gt;=1,'Jelenlét'!F79*'Jelenlét'!$Z79,"")</f>
        <v/>
      </c>
      <c r="G79" s="5" t="str">
        <f>IF('Jelenlét'!G79&gt;=1,'Jelenlét'!G79*'Jelenlét'!$Z79,"")</f>
        <v/>
      </c>
      <c r="H79" s="5" t="str">
        <f>IF('Jelenlét'!H79&gt;=1,'Jelenlét'!H79*'Jelenlét'!$Z79,"")</f>
        <v/>
      </c>
      <c r="I79" s="5" t="str">
        <f>IF('Jelenlét'!I79&gt;=1,'Jelenlét'!I79*'Jelenlét'!$Z79,"")</f>
        <v/>
      </c>
      <c r="J79" s="5" t="str">
        <f>IF('Jelenlét'!J79&gt;=1,'Jelenlét'!J79*'Jelenlét'!$Z79,"")</f>
        <v/>
      </c>
      <c r="K79" s="5" t="str">
        <f>IF('Jelenlét'!K79&gt;=1,'Jelenlét'!K79*'Jelenlét'!$Z79,"")</f>
        <v/>
      </c>
      <c r="L79" s="5" t="str">
        <f>IF('Jelenlét'!L79&gt;=1,'Jelenlét'!L79*'Jelenlét'!$Z79,"")</f>
        <v/>
      </c>
      <c r="M79" s="5" t="str">
        <f>IF('Jelenlét'!M79&gt;=1,'Jelenlét'!M79*'Jelenlét'!$Z79,"")</f>
        <v/>
      </c>
      <c r="N79" s="5" t="str">
        <f>IF('Jelenlét'!N79&gt;=1,'Jelenlét'!N79*'Jelenlét'!$Z79,"")</f>
        <v/>
      </c>
      <c r="O79" s="5" t="str">
        <f>IF('Jelenlét'!O79&gt;=1,'Jelenlét'!O79*'Jelenlét'!$Z79,"")</f>
        <v/>
      </c>
      <c r="P79" s="5" t="str">
        <f>IF('Jelenlét'!P79&gt;=1,'Jelenlét'!P79*'Jelenlét'!$Z79,"")</f>
        <v/>
      </c>
      <c r="Q79" s="5" t="str">
        <f>IF('Jelenlét'!Q79&gt;=1,'Jelenlét'!Q79*'Jelenlét'!$Z79,"")</f>
        <v/>
      </c>
      <c r="R79" s="5" t="str">
        <f>IF('Jelenlét'!R79&gt;=1,'Jelenlét'!R79*'Jelenlét'!$Z79,"")</f>
        <v/>
      </c>
      <c r="S79" s="5" t="str">
        <f>IF('Jelenlét'!S79&gt;=1,'Jelenlét'!S79*'Jelenlét'!$Z79,"")</f>
        <v/>
      </c>
      <c r="T79" s="5" t="str">
        <f>IF('Jelenlét'!T79&gt;=1,'Jelenlét'!T79*'Jelenlét'!$Z79,"")</f>
        <v/>
      </c>
      <c r="U79" s="5" t="str">
        <f>IF('Jelenlét'!U79&gt;=1,'Jelenlét'!U79*'Jelenlét'!$Z79,"")</f>
        <v/>
      </c>
      <c r="V79" s="5" t="str">
        <f>IF('Jelenlét'!V79&gt;=1,'Jelenlét'!V79*'Jelenlét'!$Z79,"")</f>
        <v/>
      </c>
    </row>
    <row r="80">
      <c r="A80" s="8">
        <v>46154.0</v>
      </c>
      <c r="B80" s="5" t="str">
        <f>IF('Jelenlét'!B80&gt;=1,'Jelenlét'!B80*'Jelenlét'!$Z80,"")</f>
        <v/>
      </c>
      <c r="C80" s="5" t="str">
        <f>IF('Jelenlét'!C80&gt;=1,'Jelenlét'!C80*'Jelenlét'!$Z80,"")</f>
        <v/>
      </c>
      <c r="D80" s="5" t="str">
        <f>IF('Jelenlét'!D80&gt;=1,'Jelenlét'!D80*'Jelenlét'!$Z80,"")</f>
        <v/>
      </c>
      <c r="E80" s="5" t="str">
        <f>IF('Jelenlét'!E80&gt;=1,'Jelenlét'!E80*'Jelenlét'!$Z80,"")</f>
        <v/>
      </c>
      <c r="F80" s="5" t="str">
        <f>IF('Jelenlét'!F80&gt;=1,'Jelenlét'!F80*'Jelenlét'!$Z80,"")</f>
        <v/>
      </c>
      <c r="G80" s="5" t="str">
        <f>IF('Jelenlét'!G80&gt;=1,'Jelenlét'!G80*'Jelenlét'!$Z80,"")</f>
        <v/>
      </c>
      <c r="H80" s="5" t="str">
        <f>IF('Jelenlét'!H80&gt;=1,'Jelenlét'!H80*'Jelenlét'!$Z80,"")</f>
        <v/>
      </c>
      <c r="I80" s="5" t="str">
        <f>IF('Jelenlét'!I80&gt;=1,'Jelenlét'!I80*'Jelenlét'!$Z80,"")</f>
        <v/>
      </c>
      <c r="J80" s="5" t="str">
        <f>IF('Jelenlét'!J80&gt;=1,'Jelenlét'!J80*'Jelenlét'!$Z80,"")</f>
        <v/>
      </c>
      <c r="K80" s="5" t="str">
        <f>IF('Jelenlét'!K80&gt;=1,'Jelenlét'!K80*'Jelenlét'!$Z80,"")</f>
        <v/>
      </c>
      <c r="L80" s="5" t="str">
        <f>IF('Jelenlét'!L80&gt;=1,'Jelenlét'!L80*'Jelenlét'!$Z80,"")</f>
        <v/>
      </c>
      <c r="M80" s="5" t="str">
        <f>IF('Jelenlét'!M80&gt;=1,'Jelenlét'!M80*'Jelenlét'!$Z80,"")</f>
        <v/>
      </c>
      <c r="N80" s="5" t="str">
        <f>IF('Jelenlét'!N80&gt;=1,'Jelenlét'!N80*'Jelenlét'!$Z80,"")</f>
        <v/>
      </c>
      <c r="O80" s="5" t="str">
        <f>IF('Jelenlét'!O80&gt;=1,'Jelenlét'!O80*'Jelenlét'!$Z80,"")</f>
        <v/>
      </c>
      <c r="P80" s="5" t="str">
        <f>IF('Jelenlét'!P80&gt;=1,'Jelenlét'!P80*'Jelenlét'!$Z80,"")</f>
        <v/>
      </c>
      <c r="Q80" s="5" t="str">
        <f>IF('Jelenlét'!Q80&gt;=1,'Jelenlét'!Q80*'Jelenlét'!$Z80,"")</f>
        <v/>
      </c>
      <c r="R80" s="5" t="str">
        <f>IF('Jelenlét'!R80&gt;=1,'Jelenlét'!R80*'Jelenlét'!$Z80,"")</f>
        <v/>
      </c>
      <c r="S80" s="5" t="str">
        <f>IF('Jelenlét'!S80&gt;=1,'Jelenlét'!S80*'Jelenlét'!$Z80,"")</f>
        <v/>
      </c>
      <c r="T80" s="5" t="str">
        <f>IF('Jelenlét'!T80&gt;=1,'Jelenlét'!T80*'Jelenlét'!$Z80,"")</f>
        <v/>
      </c>
      <c r="U80" s="5" t="str">
        <f>IF('Jelenlét'!U80&gt;=1,'Jelenlét'!U80*'Jelenlét'!$Z80,"")</f>
        <v/>
      </c>
      <c r="V80" s="5" t="str">
        <f>IF('Jelenlét'!V80&gt;=1,'Jelenlét'!V80*'Jelenlét'!$Z80,"")</f>
        <v/>
      </c>
    </row>
    <row r="81">
      <c r="A81" s="8">
        <v>46161.0</v>
      </c>
      <c r="B81" s="5" t="str">
        <f>IF('Jelenlét'!B81&gt;=1,'Jelenlét'!B81*'Jelenlét'!$Z81,"")</f>
        <v/>
      </c>
      <c r="C81" s="5" t="str">
        <f>IF('Jelenlét'!C81&gt;=1,'Jelenlét'!C81*'Jelenlét'!$Z81,"")</f>
        <v/>
      </c>
      <c r="D81" s="5" t="str">
        <f>IF('Jelenlét'!D81&gt;=1,'Jelenlét'!D81*'Jelenlét'!$Z81,"")</f>
        <v/>
      </c>
      <c r="E81" s="5" t="str">
        <f>IF('Jelenlét'!E81&gt;=1,'Jelenlét'!E81*'Jelenlét'!$Z81,"")</f>
        <v/>
      </c>
      <c r="F81" s="5" t="str">
        <f>IF('Jelenlét'!F81&gt;=1,'Jelenlét'!F81*'Jelenlét'!$Z81,"")</f>
        <v/>
      </c>
      <c r="G81" s="5" t="str">
        <f>IF('Jelenlét'!G81&gt;=1,'Jelenlét'!G81*'Jelenlét'!$Z81,"")</f>
        <v/>
      </c>
      <c r="H81" s="5" t="str">
        <f>IF('Jelenlét'!H81&gt;=1,'Jelenlét'!H81*'Jelenlét'!$Z81,"")</f>
        <v/>
      </c>
      <c r="I81" s="5" t="str">
        <f>IF('Jelenlét'!I81&gt;=1,'Jelenlét'!I81*'Jelenlét'!$Z81,"")</f>
        <v/>
      </c>
      <c r="J81" s="5" t="str">
        <f>IF('Jelenlét'!J81&gt;=1,'Jelenlét'!J81*'Jelenlét'!$Z81,"")</f>
        <v/>
      </c>
      <c r="K81" s="5" t="str">
        <f>IF('Jelenlét'!K81&gt;=1,'Jelenlét'!K81*'Jelenlét'!$Z81,"")</f>
        <v/>
      </c>
      <c r="L81" s="5" t="str">
        <f>IF('Jelenlét'!L81&gt;=1,'Jelenlét'!L81*'Jelenlét'!$Z81,"")</f>
        <v/>
      </c>
      <c r="M81" s="5" t="str">
        <f>IF('Jelenlét'!M81&gt;=1,'Jelenlét'!M81*'Jelenlét'!$Z81,"")</f>
        <v/>
      </c>
      <c r="N81" s="5" t="str">
        <f>IF('Jelenlét'!N81&gt;=1,'Jelenlét'!N81*'Jelenlét'!$Z81,"")</f>
        <v/>
      </c>
      <c r="O81" s="5" t="str">
        <f>IF('Jelenlét'!O81&gt;=1,'Jelenlét'!O81*'Jelenlét'!$Z81,"")</f>
        <v/>
      </c>
      <c r="P81" s="5" t="str">
        <f>IF('Jelenlét'!P81&gt;=1,'Jelenlét'!P81*'Jelenlét'!$Z81,"")</f>
        <v/>
      </c>
      <c r="Q81" s="5" t="str">
        <f>IF('Jelenlét'!Q81&gt;=1,'Jelenlét'!Q81*'Jelenlét'!$Z81,"")</f>
        <v/>
      </c>
      <c r="R81" s="5" t="str">
        <f>IF('Jelenlét'!R81&gt;=1,'Jelenlét'!R81*'Jelenlét'!$Z81,"")</f>
        <v/>
      </c>
      <c r="S81" s="5" t="str">
        <f>IF('Jelenlét'!S81&gt;=1,'Jelenlét'!S81*'Jelenlét'!$Z81,"")</f>
        <v/>
      </c>
      <c r="T81" s="5" t="str">
        <f>IF('Jelenlét'!T81&gt;=1,'Jelenlét'!T81*'Jelenlét'!$Z81,"")</f>
        <v/>
      </c>
      <c r="U81" s="5" t="str">
        <f>IF('Jelenlét'!U81&gt;=1,'Jelenlét'!U81*'Jelenlét'!$Z81,"")</f>
        <v/>
      </c>
      <c r="V81" s="5" t="str">
        <f>IF('Jelenlét'!V81&gt;=1,'Jelenlét'!V81*'Jelenlét'!$Z81,"")</f>
        <v/>
      </c>
    </row>
    <row r="82">
      <c r="A82" s="8">
        <v>46168.0</v>
      </c>
      <c r="B82" s="5" t="str">
        <f>IF('Jelenlét'!B82&gt;=1,'Jelenlét'!B82*'Jelenlét'!$Z82,"")</f>
        <v/>
      </c>
      <c r="C82" s="5" t="str">
        <f>IF('Jelenlét'!C82&gt;=1,'Jelenlét'!C82*'Jelenlét'!$Z82,"")</f>
        <v/>
      </c>
      <c r="D82" s="5" t="str">
        <f>IF('Jelenlét'!D82&gt;=1,'Jelenlét'!D82*'Jelenlét'!$Z82,"")</f>
        <v/>
      </c>
      <c r="E82" s="5" t="str">
        <f>IF('Jelenlét'!E82&gt;=1,'Jelenlét'!E82*'Jelenlét'!$Z82,"")</f>
        <v/>
      </c>
      <c r="F82" s="5" t="str">
        <f>IF('Jelenlét'!F82&gt;=1,'Jelenlét'!F82*'Jelenlét'!$Z82,"")</f>
        <v/>
      </c>
      <c r="G82" s="5" t="str">
        <f>IF('Jelenlét'!G82&gt;=1,'Jelenlét'!G82*'Jelenlét'!$Z82,"")</f>
        <v/>
      </c>
      <c r="H82" s="5" t="str">
        <f>IF('Jelenlét'!H82&gt;=1,'Jelenlét'!H82*'Jelenlét'!$Z82,"")</f>
        <v/>
      </c>
      <c r="I82" s="5" t="str">
        <f>IF('Jelenlét'!I82&gt;=1,'Jelenlét'!I82*'Jelenlét'!$Z82,"")</f>
        <v/>
      </c>
      <c r="J82" s="5" t="str">
        <f>IF('Jelenlét'!J82&gt;=1,'Jelenlét'!J82*'Jelenlét'!$Z82,"")</f>
        <v/>
      </c>
      <c r="K82" s="5" t="str">
        <f>IF('Jelenlét'!K82&gt;=1,'Jelenlét'!K82*'Jelenlét'!$Z82,"")</f>
        <v/>
      </c>
      <c r="L82" s="5" t="str">
        <f>IF('Jelenlét'!L82&gt;=1,'Jelenlét'!L82*'Jelenlét'!$Z82,"")</f>
        <v/>
      </c>
      <c r="M82" s="5" t="str">
        <f>IF('Jelenlét'!M82&gt;=1,'Jelenlét'!M82*'Jelenlét'!$Z82,"")</f>
        <v/>
      </c>
      <c r="N82" s="5" t="str">
        <f>IF('Jelenlét'!N82&gt;=1,'Jelenlét'!N82*'Jelenlét'!$Z82,"")</f>
        <v/>
      </c>
      <c r="O82" s="5" t="str">
        <f>IF('Jelenlét'!O82&gt;=1,'Jelenlét'!O82*'Jelenlét'!$Z82,"")</f>
        <v/>
      </c>
      <c r="P82" s="5" t="str">
        <f>IF('Jelenlét'!P82&gt;=1,'Jelenlét'!P82*'Jelenlét'!$Z82,"")</f>
        <v/>
      </c>
      <c r="Q82" s="5" t="str">
        <f>IF('Jelenlét'!Q82&gt;=1,'Jelenlét'!Q82*'Jelenlét'!$Z82,"")</f>
        <v/>
      </c>
      <c r="R82" s="5" t="str">
        <f>IF('Jelenlét'!R82&gt;=1,'Jelenlét'!R82*'Jelenlét'!$Z82,"")</f>
        <v/>
      </c>
      <c r="S82" s="5" t="str">
        <f>IF('Jelenlét'!S82&gt;=1,'Jelenlét'!S82*'Jelenlét'!$Z82,"")</f>
        <v/>
      </c>
      <c r="T82" s="5" t="str">
        <f>IF('Jelenlét'!T82&gt;=1,'Jelenlét'!T82*'Jelenlét'!$Z82,"")</f>
        <v/>
      </c>
      <c r="U82" s="5" t="str">
        <f>IF('Jelenlét'!U82&gt;=1,'Jelenlét'!U82*'Jelenlét'!$Z82,"")</f>
        <v/>
      </c>
      <c r="V82" s="5" t="str">
        <f>IF('Jelenlét'!V82&gt;=1,'Jelenlét'!V82*'Jelenlét'!$Z82,"")</f>
        <v/>
      </c>
    </row>
    <row r="83">
      <c r="A83" s="8">
        <v>46175.0</v>
      </c>
      <c r="B83" s="5" t="str">
        <f>IF('Jelenlét'!B83&gt;=1,'Jelenlét'!B83*'Jelenlét'!$Z83,"")</f>
        <v/>
      </c>
      <c r="C83" s="5" t="str">
        <f>IF('Jelenlét'!C83&gt;=1,'Jelenlét'!C83*'Jelenlét'!$Z83,"")</f>
        <v/>
      </c>
      <c r="D83" s="5" t="str">
        <f>IF('Jelenlét'!D83&gt;=1,'Jelenlét'!D83*'Jelenlét'!$Z83,"")</f>
        <v/>
      </c>
      <c r="E83" s="5" t="str">
        <f>IF('Jelenlét'!E83&gt;=1,'Jelenlét'!E83*'Jelenlét'!$Z83,"")</f>
        <v/>
      </c>
      <c r="F83" s="5" t="str">
        <f>IF('Jelenlét'!F83&gt;=1,'Jelenlét'!F83*'Jelenlét'!$Z83,"")</f>
        <v/>
      </c>
      <c r="G83" s="5" t="str">
        <f>IF('Jelenlét'!G83&gt;=1,'Jelenlét'!G83*'Jelenlét'!$Z83,"")</f>
        <v/>
      </c>
      <c r="H83" s="5" t="str">
        <f>IF('Jelenlét'!H83&gt;=1,'Jelenlét'!H83*'Jelenlét'!$Z83,"")</f>
        <v/>
      </c>
      <c r="I83" s="5" t="str">
        <f>IF('Jelenlét'!I83&gt;=1,'Jelenlét'!I83*'Jelenlét'!$Z83,"")</f>
        <v/>
      </c>
      <c r="J83" s="5" t="str">
        <f>IF('Jelenlét'!J83&gt;=1,'Jelenlét'!J83*'Jelenlét'!$Z83,"")</f>
        <v/>
      </c>
      <c r="K83" s="5" t="str">
        <f>IF('Jelenlét'!K83&gt;=1,'Jelenlét'!K83*'Jelenlét'!$Z83,"")</f>
        <v/>
      </c>
      <c r="L83" s="5" t="str">
        <f>IF('Jelenlét'!L83&gt;=1,'Jelenlét'!L83*'Jelenlét'!$Z83,"")</f>
        <v/>
      </c>
      <c r="M83" s="5" t="str">
        <f>IF('Jelenlét'!M83&gt;=1,'Jelenlét'!M83*'Jelenlét'!$Z83,"")</f>
        <v/>
      </c>
      <c r="N83" s="5" t="str">
        <f>IF('Jelenlét'!N83&gt;=1,'Jelenlét'!N83*'Jelenlét'!$Z83,"")</f>
        <v/>
      </c>
      <c r="O83" s="5" t="str">
        <f>IF('Jelenlét'!O83&gt;=1,'Jelenlét'!O83*'Jelenlét'!$Z83,"")</f>
        <v/>
      </c>
      <c r="P83" s="5" t="str">
        <f>IF('Jelenlét'!P83&gt;=1,'Jelenlét'!P83*'Jelenlét'!$Z83,"")</f>
        <v/>
      </c>
      <c r="Q83" s="5" t="str">
        <f>IF('Jelenlét'!Q83&gt;=1,'Jelenlét'!Q83*'Jelenlét'!$Z83,"")</f>
        <v/>
      </c>
      <c r="R83" s="5" t="str">
        <f>IF('Jelenlét'!R83&gt;=1,'Jelenlét'!R83*'Jelenlét'!$Z83,"")</f>
        <v/>
      </c>
      <c r="S83" s="5" t="str">
        <f>IF('Jelenlét'!S83&gt;=1,'Jelenlét'!S83*'Jelenlét'!$Z83,"")</f>
        <v/>
      </c>
      <c r="T83" s="5" t="str">
        <f>IF('Jelenlét'!T83&gt;=1,'Jelenlét'!T83*'Jelenlét'!$Z83,"")</f>
        <v/>
      </c>
      <c r="U83" s="5" t="str">
        <f>IF('Jelenlét'!U83&gt;=1,'Jelenlét'!U83*'Jelenlét'!$Z83,"")</f>
        <v/>
      </c>
      <c r="V83" s="5" t="str">
        <f>IF('Jelenlét'!V83&gt;=1,'Jelenlét'!V83*'Jelenlét'!$Z83,"")</f>
        <v/>
      </c>
    </row>
    <row r="84">
      <c r="A84" s="8">
        <v>46182.0</v>
      </c>
      <c r="B84" s="5" t="str">
        <f>IF('Jelenlét'!B84&gt;=1,'Jelenlét'!B84*'Jelenlét'!$Z84,"")</f>
        <v/>
      </c>
      <c r="C84" s="5" t="str">
        <f>IF('Jelenlét'!C84&gt;=1,'Jelenlét'!C84*'Jelenlét'!$Z84,"")</f>
        <v/>
      </c>
      <c r="D84" s="5" t="str">
        <f>IF('Jelenlét'!D84&gt;=1,'Jelenlét'!D84*'Jelenlét'!$Z84,"")</f>
        <v/>
      </c>
      <c r="E84" s="5" t="str">
        <f>IF('Jelenlét'!E84&gt;=1,'Jelenlét'!E84*'Jelenlét'!$Z84,"")</f>
        <v/>
      </c>
      <c r="F84" s="5" t="str">
        <f>IF('Jelenlét'!F84&gt;=1,'Jelenlét'!F84*'Jelenlét'!$Z84,"")</f>
        <v/>
      </c>
      <c r="G84" s="5" t="str">
        <f>IF('Jelenlét'!G84&gt;=1,'Jelenlét'!G84*'Jelenlét'!$Z84,"")</f>
        <v/>
      </c>
      <c r="H84" s="5" t="str">
        <f>IF('Jelenlét'!H84&gt;=1,'Jelenlét'!H84*'Jelenlét'!$Z84,"")</f>
        <v/>
      </c>
      <c r="I84" s="5" t="str">
        <f>IF('Jelenlét'!I84&gt;=1,'Jelenlét'!I84*'Jelenlét'!$Z84,"")</f>
        <v/>
      </c>
      <c r="J84" s="5" t="str">
        <f>IF('Jelenlét'!J84&gt;=1,'Jelenlét'!J84*'Jelenlét'!$Z84,"")</f>
        <v/>
      </c>
      <c r="K84" s="5" t="str">
        <f>IF('Jelenlét'!K84&gt;=1,'Jelenlét'!K84*'Jelenlét'!$Z84,"")</f>
        <v/>
      </c>
      <c r="L84" s="5" t="str">
        <f>IF('Jelenlét'!L84&gt;=1,'Jelenlét'!L84*'Jelenlét'!$Z84,"")</f>
        <v/>
      </c>
      <c r="M84" s="5" t="str">
        <f>IF('Jelenlét'!M84&gt;=1,'Jelenlét'!M84*'Jelenlét'!$Z84,"")</f>
        <v/>
      </c>
      <c r="N84" s="5" t="str">
        <f>IF('Jelenlét'!N84&gt;=1,'Jelenlét'!N84*'Jelenlét'!$Z84,"")</f>
        <v/>
      </c>
      <c r="O84" s="5" t="str">
        <f>IF('Jelenlét'!O84&gt;=1,'Jelenlét'!O84*'Jelenlét'!$Z84,"")</f>
        <v/>
      </c>
      <c r="P84" s="5" t="str">
        <f>IF('Jelenlét'!P84&gt;=1,'Jelenlét'!P84*'Jelenlét'!$Z84,"")</f>
        <v/>
      </c>
      <c r="Q84" s="5" t="str">
        <f>IF('Jelenlét'!Q84&gt;=1,'Jelenlét'!Q84*'Jelenlét'!$Z84,"")</f>
        <v/>
      </c>
      <c r="R84" s="5" t="str">
        <f>IF('Jelenlét'!R84&gt;=1,'Jelenlét'!R84*'Jelenlét'!$Z84,"")</f>
        <v/>
      </c>
      <c r="S84" s="5" t="str">
        <f>IF('Jelenlét'!S84&gt;=1,'Jelenlét'!S84*'Jelenlét'!$Z84,"")</f>
        <v/>
      </c>
      <c r="T84" s="5" t="str">
        <f>IF('Jelenlét'!T84&gt;=1,'Jelenlét'!T84*'Jelenlét'!$Z84,"")</f>
        <v/>
      </c>
      <c r="U84" s="5" t="str">
        <f>IF('Jelenlét'!U84&gt;=1,'Jelenlét'!U84*'Jelenlét'!$Z84,"")</f>
        <v/>
      </c>
      <c r="V84" s="5" t="str">
        <f>IF('Jelenlét'!V84&gt;=1,'Jelenlét'!V84*'Jelenlét'!$Z84,"")</f>
        <v/>
      </c>
    </row>
    <row r="85">
      <c r="A85" s="8">
        <v>46189.0</v>
      </c>
      <c r="B85" s="5" t="str">
        <f>IF('Jelenlét'!B85&gt;=1,'Jelenlét'!B85*'Jelenlét'!$Z85,"")</f>
        <v/>
      </c>
      <c r="C85" s="5" t="str">
        <f>IF('Jelenlét'!C85&gt;=1,'Jelenlét'!C85*'Jelenlét'!$Z85,"")</f>
        <v/>
      </c>
      <c r="D85" s="5" t="str">
        <f>IF('Jelenlét'!D85&gt;=1,'Jelenlét'!D85*'Jelenlét'!$Z85,"")</f>
        <v/>
      </c>
      <c r="E85" s="5" t="str">
        <f>IF('Jelenlét'!E85&gt;=1,'Jelenlét'!E85*'Jelenlét'!$Z85,"")</f>
        <v/>
      </c>
      <c r="F85" s="5" t="str">
        <f>IF('Jelenlét'!F85&gt;=1,'Jelenlét'!F85*'Jelenlét'!$Z85,"")</f>
        <v/>
      </c>
      <c r="G85" s="5" t="str">
        <f>IF('Jelenlét'!G85&gt;=1,'Jelenlét'!G85*'Jelenlét'!$Z85,"")</f>
        <v/>
      </c>
      <c r="H85" s="5" t="str">
        <f>IF('Jelenlét'!H85&gt;=1,'Jelenlét'!H85*'Jelenlét'!$Z85,"")</f>
        <v/>
      </c>
      <c r="I85" s="5" t="str">
        <f>IF('Jelenlét'!I85&gt;=1,'Jelenlét'!I85*'Jelenlét'!$Z85,"")</f>
        <v/>
      </c>
      <c r="J85" s="5" t="str">
        <f>IF('Jelenlét'!J85&gt;=1,'Jelenlét'!J85*'Jelenlét'!$Z85,"")</f>
        <v/>
      </c>
      <c r="K85" s="5" t="str">
        <f>IF('Jelenlét'!K85&gt;=1,'Jelenlét'!K85*'Jelenlét'!$Z85,"")</f>
        <v/>
      </c>
      <c r="L85" s="5" t="str">
        <f>IF('Jelenlét'!L85&gt;=1,'Jelenlét'!L85*'Jelenlét'!$Z85,"")</f>
        <v/>
      </c>
      <c r="M85" s="5" t="str">
        <f>IF('Jelenlét'!M85&gt;=1,'Jelenlét'!M85*'Jelenlét'!$Z85,"")</f>
        <v/>
      </c>
      <c r="N85" s="5" t="str">
        <f>IF('Jelenlét'!N85&gt;=1,'Jelenlét'!N85*'Jelenlét'!$Z85,"")</f>
        <v/>
      </c>
      <c r="O85" s="5" t="str">
        <f>IF('Jelenlét'!O85&gt;=1,'Jelenlét'!O85*'Jelenlét'!$Z85,"")</f>
        <v/>
      </c>
      <c r="P85" s="5" t="str">
        <f>IF('Jelenlét'!P85&gt;=1,'Jelenlét'!P85*'Jelenlét'!$Z85,"")</f>
        <v/>
      </c>
      <c r="Q85" s="5" t="str">
        <f>IF('Jelenlét'!Q85&gt;=1,'Jelenlét'!Q85*'Jelenlét'!$Z85,"")</f>
        <v/>
      </c>
      <c r="R85" s="5" t="str">
        <f>IF('Jelenlét'!R85&gt;=1,'Jelenlét'!R85*'Jelenlét'!$Z85,"")</f>
        <v/>
      </c>
      <c r="S85" s="5" t="str">
        <f>IF('Jelenlét'!S85&gt;=1,'Jelenlét'!S85*'Jelenlét'!$Z85,"")</f>
        <v/>
      </c>
      <c r="T85" s="5" t="str">
        <f>IF('Jelenlét'!T85&gt;=1,'Jelenlét'!T85*'Jelenlét'!$Z85,"")</f>
        <v/>
      </c>
      <c r="U85" s="5" t="str">
        <f>IF('Jelenlét'!U85&gt;=1,'Jelenlét'!U85*'Jelenlét'!$Z85,"")</f>
        <v/>
      </c>
      <c r="V85" s="5" t="str">
        <f>IF('Jelenlét'!V85&gt;=1,'Jelenlét'!V85*'Jelenlét'!$Z85,"")</f>
        <v/>
      </c>
    </row>
    <row r="86">
      <c r="A86" s="8">
        <v>46196.0</v>
      </c>
      <c r="B86" s="5" t="str">
        <f>IF('Jelenlét'!B86&gt;=1,'Jelenlét'!B86*'Jelenlét'!$Z86,"")</f>
        <v/>
      </c>
      <c r="C86" s="5" t="str">
        <f>IF('Jelenlét'!C86&gt;=1,'Jelenlét'!C86*'Jelenlét'!$Z86,"")</f>
        <v/>
      </c>
      <c r="D86" s="5" t="str">
        <f>IF('Jelenlét'!D86&gt;=1,'Jelenlét'!D86*'Jelenlét'!$Z86,"")</f>
        <v/>
      </c>
      <c r="E86" s="5" t="str">
        <f>IF('Jelenlét'!E86&gt;=1,'Jelenlét'!E86*'Jelenlét'!$Z86,"")</f>
        <v/>
      </c>
      <c r="F86" s="5" t="str">
        <f>IF('Jelenlét'!F86&gt;=1,'Jelenlét'!F86*'Jelenlét'!$Z86,"")</f>
        <v/>
      </c>
      <c r="G86" s="5" t="str">
        <f>IF('Jelenlét'!G86&gt;=1,'Jelenlét'!G86*'Jelenlét'!$Z86,"")</f>
        <v/>
      </c>
      <c r="H86" s="5" t="str">
        <f>IF('Jelenlét'!H86&gt;=1,'Jelenlét'!H86*'Jelenlét'!$Z86,"")</f>
        <v/>
      </c>
      <c r="I86" s="5" t="str">
        <f>IF('Jelenlét'!I86&gt;=1,'Jelenlét'!I86*'Jelenlét'!$Z86,"")</f>
        <v/>
      </c>
      <c r="J86" s="5" t="str">
        <f>IF('Jelenlét'!J86&gt;=1,'Jelenlét'!J86*'Jelenlét'!$Z86,"")</f>
        <v/>
      </c>
      <c r="K86" s="5" t="str">
        <f>IF('Jelenlét'!K86&gt;=1,'Jelenlét'!K86*'Jelenlét'!$Z86,"")</f>
        <v/>
      </c>
      <c r="L86" s="5" t="str">
        <f>IF('Jelenlét'!L86&gt;=1,'Jelenlét'!L86*'Jelenlét'!$Z86,"")</f>
        <v/>
      </c>
      <c r="M86" s="5" t="str">
        <f>IF('Jelenlét'!M86&gt;=1,'Jelenlét'!M86*'Jelenlét'!$Z86,"")</f>
        <v/>
      </c>
      <c r="N86" s="5" t="str">
        <f>IF('Jelenlét'!N86&gt;=1,'Jelenlét'!N86*'Jelenlét'!$Z86,"")</f>
        <v/>
      </c>
      <c r="O86" s="5" t="str">
        <f>IF('Jelenlét'!O86&gt;=1,'Jelenlét'!O86*'Jelenlét'!$Z86,"")</f>
        <v/>
      </c>
      <c r="P86" s="5" t="str">
        <f>IF('Jelenlét'!P86&gt;=1,'Jelenlét'!P86*'Jelenlét'!$Z86,"")</f>
        <v/>
      </c>
      <c r="Q86" s="5" t="str">
        <f>IF('Jelenlét'!Q86&gt;=1,'Jelenlét'!Q86*'Jelenlét'!$Z86,"")</f>
        <v/>
      </c>
      <c r="R86" s="5" t="str">
        <f>IF('Jelenlét'!R86&gt;=1,'Jelenlét'!R86*'Jelenlét'!$Z86,"")</f>
        <v/>
      </c>
      <c r="S86" s="5" t="str">
        <f>IF('Jelenlét'!S86&gt;=1,'Jelenlét'!S86*'Jelenlét'!$Z86,"")</f>
        <v/>
      </c>
      <c r="T86" s="5" t="str">
        <f>IF('Jelenlét'!T86&gt;=1,'Jelenlét'!T86*'Jelenlét'!$Z86,"")</f>
        <v/>
      </c>
      <c r="U86" s="5" t="str">
        <f>IF('Jelenlét'!U86&gt;=1,'Jelenlét'!U86*'Jelenlét'!$Z86,"")</f>
        <v/>
      </c>
      <c r="V86" s="5" t="str">
        <f>IF('Jelenlét'!V86&gt;=1,'Jelenlét'!V86*'Jelenlét'!$Z86,"")</f>
        <v/>
      </c>
    </row>
    <row r="87">
      <c r="A87" s="8">
        <v>46203.0</v>
      </c>
      <c r="B87" s="5" t="str">
        <f>IF('Jelenlét'!B87&gt;=1,'Jelenlét'!B87*'Jelenlét'!$Z87,"")</f>
        <v/>
      </c>
      <c r="C87" s="5" t="str">
        <f>IF('Jelenlét'!C87&gt;=1,'Jelenlét'!C87*'Jelenlét'!$Z87,"")</f>
        <v/>
      </c>
      <c r="D87" s="5" t="str">
        <f>IF('Jelenlét'!D87&gt;=1,'Jelenlét'!D87*'Jelenlét'!$Z87,"")</f>
        <v/>
      </c>
      <c r="E87" s="5" t="str">
        <f>IF('Jelenlét'!E87&gt;=1,'Jelenlét'!E87*'Jelenlét'!$Z87,"")</f>
        <v/>
      </c>
      <c r="F87" s="5" t="str">
        <f>IF('Jelenlét'!F87&gt;=1,'Jelenlét'!F87*'Jelenlét'!$Z87,"")</f>
        <v/>
      </c>
      <c r="G87" s="5" t="str">
        <f>IF('Jelenlét'!G87&gt;=1,'Jelenlét'!G87*'Jelenlét'!$Z87,"")</f>
        <v/>
      </c>
      <c r="H87" s="5" t="str">
        <f>IF('Jelenlét'!H87&gt;=1,'Jelenlét'!H87*'Jelenlét'!$Z87,"")</f>
        <v/>
      </c>
      <c r="I87" s="5" t="str">
        <f>IF('Jelenlét'!I87&gt;=1,'Jelenlét'!I87*'Jelenlét'!$Z87,"")</f>
        <v/>
      </c>
      <c r="J87" s="5" t="str">
        <f>IF('Jelenlét'!J87&gt;=1,'Jelenlét'!J87*'Jelenlét'!$Z87,"")</f>
        <v/>
      </c>
      <c r="K87" s="5" t="str">
        <f>IF('Jelenlét'!K87&gt;=1,'Jelenlét'!K87*'Jelenlét'!$Z87,"")</f>
        <v/>
      </c>
      <c r="L87" s="5" t="str">
        <f>IF('Jelenlét'!L87&gt;=1,'Jelenlét'!L87*'Jelenlét'!$Z87,"")</f>
        <v/>
      </c>
      <c r="M87" s="5" t="str">
        <f>IF('Jelenlét'!M87&gt;=1,'Jelenlét'!M87*'Jelenlét'!$Z87,"")</f>
        <v/>
      </c>
      <c r="N87" s="5" t="str">
        <f>IF('Jelenlét'!N87&gt;=1,'Jelenlét'!N87*'Jelenlét'!$Z87,"")</f>
        <v/>
      </c>
      <c r="O87" s="5" t="str">
        <f>IF('Jelenlét'!O87&gt;=1,'Jelenlét'!O87*'Jelenlét'!$Z87,"")</f>
        <v/>
      </c>
      <c r="P87" s="5" t="str">
        <f>IF('Jelenlét'!P87&gt;=1,'Jelenlét'!P87*'Jelenlét'!$Z87,"")</f>
        <v/>
      </c>
      <c r="Q87" s="5" t="str">
        <f>IF('Jelenlét'!Q87&gt;=1,'Jelenlét'!Q87*'Jelenlét'!$Z87,"")</f>
        <v/>
      </c>
      <c r="R87" s="5" t="str">
        <f>IF('Jelenlét'!R87&gt;=1,'Jelenlét'!R87*'Jelenlét'!$Z87,"")</f>
        <v/>
      </c>
      <c r="S87" s="5" t="str">
        <f>IF('Jelenlét'!S87&gt;=1,'Jelenlét'!S87*'Jelenlét'!$Z87,"")</f>
        <v/>
      </c>
      <c r="T87" s="5" t="str">
        <f>IF('Jelenlét'!T87&gt;=1,'Jelenlét'!T87*'Jelenlét'!$Z87,"")</f>
        <v/>
      </c>
      <c r="U87" s="5" t="str">
        <f>IF('Jelenlét'!U87&gt;=1,'Jelenlét'!U87*'Jelenlét'!$Z87,"")</f>
        <v/>
      </c>
      <c r="V87" s="5" t="str">
        <f>IF('Jelenlét'!V87&gt;=1,'Jelenlét'!V87*'Jelenlét'!$Z87,"")</f>
        <v/>
      </c>
    </row>
    <row r="88">
      <c r="A88" s="8">
        <v>46210.0</v>
      </c>
      <c r="B88" s="5" t="str">
        <f>IF('Jelenlét'!B88&gt;=1,'Jelenlét'!B88*'Jelenlét'!$Z88,"")</f>
        <v/>
      </c>
      <c r="C88" s="5" t="str">
        <f>IF('Jelenlét'!C88&gt;=1,'Jelenlét'!C88*'Jelenlét'!$Z88,"")</f>
        <v/>
      </c>
      <c r="D88" s="5" t="str">
        <f>IF('Jelenlét'!D88&gt;=1,'Jelenlét'!D88*'Jelenlét'!$Z88,"")</f>
        <v/>
      </c>
      <c r="E88" s="5" t="str">
        <f>IF('Jelenlét'!E88&gt;=1,'Jelenlét'!E88*'Jelenlét'!$Z88,"")</f>
        <v/>
      </c>
      <c r="F88" s="5" t="str">
        <f>IF('Jelenlét'!F88&gt;=1,'Jelenlét'!F88*'Jelenlét'!$Z88,"")</f>
        <v/>
      </c>
      <c r="G88" s="5" t="str">
        <f>IF('Jelenlét'!G88&gt;=1,'Jelenlét'!G88*'Jelenlét'!$Z88,"")</f>
        <v/>
      </c>
      <c r="H88" s="5" t="str">
        <f>IF('Jelenlét'!H88&gt;=1,'Jelenlét'!H88*'Jelenlét'!$Z88,"")</f>
        <v/>
      </c>
      <c r="I88" s="5" t="str">
        <f>IF('Jelenlét'!I88&gt;=1,'Jelenlét'!I88*'Jelenlét'!$Z88,"")</f>
        <v/>
      </c>
      <c r="J88" s="5" t="str">
        <f>IF('Jelenlét'!J88&gt;=1,'Jelenlét'!J88*'Jelenlét'!$Z88,"")</f>
        <v/>
      </c>
      <c r="K88" s="5" t="str">
        <f>IF('Jelenlét'!K88&gt;=1,'Jelenlét'!K88*'Jelenlét'!$Z88,"")</f>
        <v/>
      </c>
      <c r="L88" s="5" t="str">
        <f>IF('Jelenlét'!L88&gt;=1,'Jelenlét'!L88*'Jelenlét'!$Z88,"")</f>
        <v/>
      </c>
      <c r="M88" s="5" t="str">
        <f>IF('Jelenlét'!M88&gt;=1,'Jelenlét'!M88*'Jelenlét'!$Z88,"")</f>
        <v/>
      </c>
      <c r="N88" s="5" t="str">
        <f>IF('Jelenlét'!N88&gt;=1,'Jelenlét'!N88*'Jelenlét'!$Z88,"")</f>
        <v/>
      </c>
      <c r="O88" s="5" t="str">
        <f>IF('Jelenlét'!O88&gt;=1,'Jelenlét'!O88*'Jelenlét'!$Z88,"")</f>
        <v/>
      </c>
      <c r="P88" s="5" t="str">
        <f>IF('Jelenlét'!P88&gt;=1,'Jelenlét'!P88*'Jelenlét'!$Z88,"")</f>
        <v/>
      </c>
      <c r="Q88" s="5" t="str">
        <f>IF('Jelenlét'!Q88&gt;=1,'Jelenlét'!Q88*'Jelenlét'!$Z88,"")</f>
        <v/>
      </c>
      <c r="R88" s="5" t="str">
        <f>IF('Jelenlét'!R88&gt;=1,'Jelenlét'!R88*'Jelenlét'!$Z88,"")</f>
        <v/>
      </c>
      <c r="S88" s="5" t="str">
        <f>IF('Jelenlét'!S88&gt;=1,'Jelenlét'!S88*'Jelenlét'!$Z88,"")</f>
        <v/>
      </c>
      <c r="T88" s="5" t="str">
        <f>IF('Jelenlét'!T88&gt;=1,'Jelenlét'!T88*'Jelenlét'!$Z88,"")</f>
        <v/>
      </c>
      <c r="U88" s="5" t="str">
        <f>IF('Jelenlét'!U88&gt;=1,'Jelenlét'!U88*'Jelenlét'!$Z88,"")</f>
        <v/>
      </c>
      <c r="V88" s="5" t="str">
        <f>IF('Jelenlét'!V88&gt;=1,'Jelenlét'!V88*'Jelenlét'!$Z88,"")</f>
        <v/>
      </c>
    </row>
    <row r="89">
      <c r="A89" s="8">
        <v>46217.0</v>
      </c>
      <c r="B89" s="5" t="str">
        <f>IF('Jelenlét'!B89&gt;=1,'Jelenlét'!B89*'Jelenlét'!$Z89,"")</f>
        <v/>
      </c>
      <c r="C89" s="5" t="str">
        <f>IF('Jelenlét'!C89&gt;=1,'Jelenlét'!C89*'Jelenlét'!$Z89,"")</f>
        <v/>
      </c>
      <c r="D89" s="5" t="str">
        <f>IF('Jelenlét'!D89&gt;=1,'Jelenlét'!D89*'Jelenlét'!$Z89,"")</f>
        <v/>
      </c>
      <c r="E89" s="5" t="str">
        <f>IF('Jelenlét'!E89&gt;=1,'Jelenlét'!E89*'Jelenlét'!$Z89,"")</f>
        <v/>
      </c>
      <c r="F89" s="5" t="str">
        <f>IF('Jelenlét'!F89&gt;=1,'Jelenlét'!F89*'Jelenlét'!$Z89,"")</f>
        <v/>
      </c>
      <c r="G89" s="5" t="str">
        <f>IF('Jelenlét'!G89&gt;=1,'Jelenlét'!G89*'Jelenlét'!$Z89,"")</f>
        <v/>
      </c>
      <c r="H89" s="5" t="str">
        <f>IF('Jelenlét'!H89&gt;=1,'Jelenlét'!H89*'Jelenlét'!$Z89,"")</f>
        <v/>
      </c>
      <c r="I89" s="5" t="str">
        <f>IF('Jelenlét'!I89&gt;=1,'Jelenlét'!I89*'Jelenlét'!$Z89,"")</f>
        <v/>
      </c>
      <c r="J89" s="5" t="str">
        <f>IF('Jelenlét'!J89&gt;=1,'Jelenlét'!J89*'Jelenlét'!$Z89,"")</f>
        <v/>
      </c>
      <c r="K89" s="5" t="str">
        <f>IF('Jelenlét'!K89&gt;=1,'Jelenlét'!K89*'Jelenlét'!$Z89,"")</f>
        <v/>
      </c>
      <c r="L89" s="5" t="str">
        <f>IF('Jelenlét'!L89&gt;=1,'Jelenlét'!L89*'Jelenlét'!$Z89,"")</f>
        <v/>
      </c>
      <c r="M89" s="5" t="str">
        <f>IF('Jelenlét'!M89&gt;=1,'Jelenlét'!M89*'Jelenlét'!$Z89,"")</f>
        <v/>
      </c>
      <c r="N89" s="5" t="str">
        <f>IF('Jelenlét'!N89&gt;=1,'Jelenlét'!N89*'Jelenlét'!$Z89,"")</f>
        <v/>
      </c>
      <c r="O89" s="5" t="str">
        <f>IF('Jelenlét'!O89&gt;=1,'Jelenlét'!O89*'Jelenlét'!$Z89,"")</f>
        <v/>
      </c>
      <c r="P89" s="5" t="str">
        <f>IF('Jelenlét'!P89&gt;=1,'Jelenlét'!P89*'Jelenlét'!$Z89,"")</f>
        <v/>
      </c>
      <c r="Q89" s="5" t="str">
        <f>IF('Jelenlét'!Q89&gt;=1,'Jelenlét'!Q89*'Jelenlét'!$Z89,"")</f>
        <v/>
      </c>
      <c r="R89" s="5" t="str">
        <f>IF('Jelenlét'!R89&gt;=1,'Jelenlét'!R89*'Jelenlét'!$Z89,"")</f>
        <v/>
      </c>
      <c r="S89" s="5" t="str">
        <f>IF('Jelenlét'!S89&gt;=1,'Jelenlét'!S89*'Jelenlét'!$Z89,"")</f>
        <v/>
      </c>
      <c r="T89" s="5" t="str">
        <f>IF('Jelenlét'!T89&gt;=1,'Jelenlét'!T89*'Jelenlét'!$Z89,"")</f>
        <v/>
      </c>
      <c r="U89" s="5" t="str">
        <f>IF('Jelenlét'!U89&gt;=1,'Jelenlét'!U89*'Jelenlét'!$Z89,"")</f>
        <v/>
      </c>
      <c r="V89" s="5" t="str">
        <f>IF('Jelenlét'!V89&gt;=1,'Jelenlét'!V89*'Jelenlét'!$Z89,"")</f>
        <v/>
      </c>
    </row>
    <row r="90">
      <c r="A90" s="8">
        <v>46224.0</v>
      </c>
      <c r="B90" s="5" t="str">
        <f>IF('Jelenlét'!B90&gt;=1,'Jelenlét'!B90*'Jelenlét'!$Z90,"")</f>
        <v/>
      </c>
      <c r="C90" s="5" t="str">
        <f>IF('Jelenlét'!C90&gt;=1,'Jelenlét'!C90*'Jelenlét'!$Z90,"")</f>
        <v/>
      </c>
      <c r="D90" s="5" t="str">
        <f>IF('Jelenlét'!D90&gt;=1,'Jelenlét'!D90*'Jelenlét'!$Z90,"")</f>
        <v/>
      </c>
      <c r="E90" s="5" t="str">
        <f>IF('Jelenlét'!E90&gt;=1,'Jelenlét'!E90*'Jelenlét'!$Z90,"")</f>
        <v/>
      </c>
      <c r="F90" s="5" t="str">
        <f>IF('Jelenlét'!F90&gt;=1,'Jelenlét'!F90*'Jelenlét'!$Z90,"")</f>
        <v/>
      </c>
      <c r="G90" s="5" t="str">
        <f>IF('Jelenlét'!G90&gt;=1,'Jelenlét'!G90*'Jelenlét'!$Z90,"")</f>
        <v/>
      </c>
      <c r="H90" s="5" t="str">
        <f>IF('Jelenlét'!H90&gt;=1,'Jelenlét'!H90*'Jelenlét'!$Z90,"")</f>
        <v/>
      </c>
      <c r="I90" s="5" t="str">
        <f>IF('Jelenlét'!I90&gt;=1,'Jelenlét'!I90*'Jelenlét'!$Z90,"")</f>
        <v/>
      </c>
      <c r="J90" s="5" t="str">
        <f>IF('Jelenlét'!J90&gt;=1,'Jelenlét'!J90*'Jelenlét'!$Z90,"")</f>
        <v/>
      </c>
      <c r="K90" s="5" t="str">
        <f>IF('Jelenlét'!K90&gt;=1,'Jelenlét'!K90*'Jelenlét'!$Z90,"")</f>
        <v/>
      </c>
      <c r="L90" s="5" t="str">
        <f>IF('Jelenlét'!L90&gt;=1,'Jelenlét'!L90*'Jelenlét'!$Z90,"")</f>
        <v/>
      </c>
      <c r="M90" s="5" t="str">
        <f>IF('Jelenlét'!M90&gt;=1,'Jelenlét'!M90*'Jelenlét'!$Z90,"")</f>
        <v/>
      </c>
      <c r="N90" s="5" t="str">
        <f>IF('Jelenlét'!N90&gt;=1,'Jelenlét'!N90*'Jelenlét'!$Z90,"")</f>
        <v/>
      </c>
      <c r="O90" s="5" t="str">
        <f>IF('Jelenlét'!O90&gt;=1,'Jelenlét'!O90*'Jelenlét'!$Z90,"")</f>
        <v/>
      </c>
      <c r="P90" s="5" t="str">
        <f>IF('Jelenlét'!P90&gt;=1,'Jelenlét'!P90*'Jelenlét'!$Z90,"")</f>
        <v/>
      </c>
      <c r="Q90" s="5" t="str">
        <f>IF('Jelenlét'!Q90&gt;=1,'Jelenlét'!Q90*'Jelenlét'!$Z90,"")</f>
        <v/>
      </c>
      <c r="R90" s="5" t="str">
        <f>IF('Jelenlét'!R90&gt;=1,'Jelenlét'!R90*'Jelenlét'!$Z90,"")</f>
        <v/>
      </c>
      <c r="S90" s="5" t="str">
        <f>IF('Jelenlét'!S90&gt;=1,'Jelenlét'!S90*'Jelenlét'!$Z90,"")</f>
        <v/>
      </c>
      <c r="T90" s="5" t="str">
        <f>IF('Jelenlét'!T90&gt;=1,'Jelenlét'!T90*'Jelenlét'!$Z90,"")</f>
        <v/>
      </c>
      <c r="U90" s="5" t="str">
        <f>IF('Jelenlét'!U90&gt;=1,'Jelenlét'!U90*'Jelenlét'!$Z90,"")</f>
        <v/>
      </c>
      <c r="V90" s="5" t="str">
        <f>IF('Jelenlét'!V90&gt;=1,'Jelenlét'!V90*'Jelenlét'!$Z90,"")</f>
        <v/>
      </c>
    </row>
    <row r="91">
      <c r="A91" s="8">
        <v>46231.0</v>
      </c>
      <c r="B91" s="5" t="str">
        <f>IF('Jelenlét'!B91&gt;=1,'Jelenlét'!B91*'Jelenlét'!$Z91,"")</f>
        <v/>
      </c>
      <c r="C91" s="5" t="str">
        <f>IF('Jelenlét'!C91&gt;=1,'Jelenlét'!C91*'Jelenlét'!$Z91,"")</f>
        <v/>
      </c>
      <c r="D91" s="5" t="str">
        <f>IF('Jelenlét'!D91&gt;=1,'Jelenlét'!D91*'Jelenlét'!$Z91,"")</f>
        <v/>
      </c>
      <c r="E91" s="5" t="str">
        <f>IF('Jelenlét'!E91&gt;=1,'Jelenlét'!E91*'Jelenlét'!$Z91,"")</f>
        <v/>
      </c>
      <c r="F91" s="5" t="str">
        <f>IF('Jelenlét'!F91&gt;=1,'Jelenlét'!F91*'Jelenlét'!$Z91,"")</f>
        <v/>
      </c>
      <c r="G91" s="5" t="str">
        <f>IF('Jelenlét'!G91&gt;=1,'Jelenlét'!G91*'Jelenlét'!$Z91,"")</f>
        <v/>
      </c>
      <c r="H91" s="5" t="str">
        <f>IF('Jelenlét'!H91&gt;=1,'Jelenlét'!H91*'Jelenlét'!$Z91,"")</f>
        <v/>
      </c>
      <c r="I91" s="5" t="str">
        <f>IF('Jelenlét'!I91&gt;=1,'Jelenlét'!I91*'Jelenlét'!$Z91,"")</f>
        <v/>
      </c>
      <c r="J91" s="5" t="str">
        <f>IF('Jelenlét'!J91&gt;=1,'Jelenlét'!J91*'Jelenlét'!$Z91,"")</f>
        <v/>
      </c>
      <c r="K91" s="5" t="str">
        <f>IF('Jelenlét'!K91&gt;=1,'Jelenlét'!K91*'Jelenlét'!$Z91,"")</f>
        <v/>
      </c>
      <c r="L91" s="5" t="str">
        <f>IF('Jelenlét'!L91&gt;=1,'Jelenlét'!L91*'Jelenlét'!$Z91,"")</f>
        <v/>
      </c>
      <c r="M91" s="5" t="str">
        <f>IF('Jelenlét'!M91&gt;=1,'Jelenlét'!M91*'Jelenlét'!$Z91,"")</f>
        <v/>
      </c>
      <c r="N91" s="5" t="str">
        <f>IF('Jelenlét'!N91&gt;=1,'Jelenlét'!N91*'Jelenlét'!$Z91,"")</f>
        <v/>
      </c>
      <c r="O91" s="5" t="str">
        <f>IF('Jelenlét'!O91&gt;=1,'Jelenlét'!O91*'Jelenlét'!$Z91,"")</f>
        <v/>
      </c>
      <c r="P91" s="5" t="str">
        <f>IF('Jelenlét'!P91&gt;=1,'Jelenlét'!P91*'Jelenlét'!$Z91,"")</f>
        <v/>
      </c>
      <c r="Q91" s="5" t="str">
        <f>IF('Jelenlét'!Q91&gt;=1,'Jelenlét'!Q91*'Jelenlét'!$Z91,"")</f>
        <v/>
      </c>
      <c r="R91" s="5" t="str">
        <f>IF('Jelenlét'!R91&gt;=1,'Jelenlét'!R91*'Jelenlét'!$Z91,"")</f>
        <v/>
      </c>
      <c r="S91" s="5" t="str">
        <f>IF('Jelenlét'!S91&gt;=1,'Jelenlét'!S91*'Jelenlét'!$Z91,"")</f>
        <v/>
      </c>
      <c r="T91" s="5" t="str">
        <f>IF('Jelenlét'!T91&gt;=1,'Jelenlét'!T91*'Jelenlét'!$Z91,"")</f>
        <v/>
      </c>
      <c r="U91" s="5" t="str">
        <f>IF('Jelenlét'!U91&gt;=1,'Jelenlét'!U91*'Jelenlét'!$Z91,"")</f>
        <v/>
      </c>
      <c r="V91" s="5" t="str">
        <f>IF('Jelenlét'!V91&gt;=1,'Jelenlét'!V91*'Jelenlét'!$Z91,"")</f>
        <v/>
      </c>
    </row>
    <row r="92">
      <c r="A92" s="8">
        <v>46238.0</v>
      </c>
      <c r="B92" s="5" t="str">
        <f>IF('Jelenlét'!B92&gt;=1,'Jelenlét'!B92*'Jelenlét'!$Z92,"")</f>
        <v/>
      </c>
      <c r="C92" s="5" t="str">
        <f>IF('Jelenlét'!C92&gt;=1,'Jelenlét'!C92*'Jelenlét'!$Z92,"")</f>
        <v/>
      </c>
      <c r="D92" s="5" t="str">
        <f>IF('Jelenlét'!D92&gt;=1,'Jelenlét'!D92*'Jelenlét'!$Z92,"")</f>
        <v/>
      </c>
      <c r="E92" s="5" t="str">
        <f>IF('Jelenlét'!E92&gt;=1,'Jelenlét'!E92*'Jelenlét'!$Z92,"")</f>
        <v/>
      </c>
      <c r="F92" s="5" t="str">
        <f>IF('Jelenlét'!F92&gt;=1,'Jelenlét'!F92*'Jelenlét'!$Z92,"")</f>
        <v/>
      </c>
      <c r="G92" s="5" t="str">
        <f>IF('Jelenlét'!G92&gt;=1,'Jelenlét'!G92*'Jelenlét'!$Z92,"")</f>
        <v/>
      </c>
      <c r="H92" s="5" t="str">
        <f>IF('Jelenlét'!H92&gt;=1,'Jelenlét'!H92*'Jelenlét'!$Z92,"")</f>
        <v/>
      </c>
      <c r="I92" s="5" t="str">
        <f>IF('Jelenlét'!I92&gt;=1,'Jelenlét'!I92*'Jelenlét'!$Z92,"")</f>
        <v/>
      </c>
      <c r="J92" s="5" t="str">
        <f>IF('Jelenlét'!J92&gt;=1,'Jelenlét'!J92*'Jelenlét'!$Z92,"")</f>
        <v/>
      </c>
      <c r="K92" s="5" t="str">
        <f>IF('Jelenlét'!K92&gt;=1,'Jelenlét'!K92*'Jelenlét'!$Z92,"")</f>
        <v/>
      </c>
      <c r="L92" s="5" t="str">
        <f>IF('Jelenlét'!L92&gt;=1,'Jelenlét'!L92*'Jelenlét'!$Z92,"")</f>
        <v/>
      </c>
      <c r="M92" s="5" t="str">
        <f>IF('Jelenlét'!M92&gt;=1,'Jelenlét'!M92*'Jelenlét'!$Z92,"")</f>
        <v/>
      </c>
      <c r="N92" s="5" t="str">
        <f>IF('Jelenlét'!N92&gt;=1,'Jelenlét'!N92*'Jelenlét'!$Z92,"")</f>
        <v/>
      </c>
      <c r="O92" s="5" t="str">
        <f>IF('Jelenlét'!O92&gt;=1,'Jelenlét'!O92*'Jelenlét'!$Z92,"")</f>
        <v/>
      </c>
      <c r="P92" s="5" t="str">
        <f>IF('Jelenlét'!P92&gt;=1,'Jelenlét'!P92*'Jelenlét'!$Z92,"")</f>
        <v/>
      </c>
      <c r="Q92" s="5" t="str">
        <f>IF('Jelenlét'!Q92&gt;=1,'Jelenlét'!Q92*'Jelenlét'!$Z92,"")</f>
        <v/>
      </c>
      <c r="R92" s="5" t="str">
        <f>IF('Jelenlét'!R92&gt;=1,'Jelenlét'!R92*'Jelenlét'!$Z92,"")</f>
        <v/>
      </c>
      <c r="S92" s="5" t="str">
        <f>IF('Jelenlét'!S92&gt;=1,'Jelenlét'!S92*'Jelenlét'!$Z92,"")</f>
        <v/>
      </c>
      <c r="T92" s="5" t="str">
        <f>IF('Jelenlét'!T92&gt;=1,'Jelenlét'!T92*'Jelenlét'!$Z92,"")</f>
        <v/>
      </c>
      <c r="U92" s="5" t="str">
        <f>IF('Jelenlét'!U92&gt;=1,'Jelenlét'!U92*'Jelenlét'!$Z92,"")</f>
        <v/>
      </c>
      <c r="V92" s="5" t="str">
        <f>IF('Jelenlét'!V92&gt;=1,'Jelenlét'!V92*'Jelenlét'!$Z92,"")</f>
        <v/>
      </c>
    </row>
    <row r="93">
      <c r="A93" s="8">
        <v>46245.0</v>
      </c>
      <c r="B93" s="5" t="str">
        <f>IF('Jelenlét'!B93&gt;=1,'Jelenlét'!B93*'Jelenlét'!$Z93,"")</f>
        <v/>
      </c>
      <c r="C93" s="5" t="str">
        <f>IF('Jelenlét'!C93&gt;=1,'Jelenlét'!C93*'Jelenlét'!$Z93,"")</f>
        <v/>
      </c>
      <c r="D93" s="5" t="str">
        <f>IF('Jelenlét'!D93&gt;=1,'Jelenlét'!D93*'Jelenlét'!$Z93,"")</f>
        <v/>
      </c>
      <c r="E93" s="5" t="str">
        <f>IF('Jelenlét'!E93&gt;=1,'Jelenlét'!E93*'Jelenlét'!$Z93,"")</f>
        <v/>
      </c>
      <c r="F93" s="5" t="str">
        <f>IF('Jelenlét'!F93&gt;=1,'Jelenlét'!F93*'Jelenlét'!$Z93,"")</f>
        <v/>
      </c>
      <c r="G93" s="5" t="str">
        <f>IF('Jelenlét'!G93&gt;=1,'Jelenlét'!G93*'Jelenlét'!$Z93,"")</f>
        <v/>
      </c>
      <c r="H93" s="5" t="str">
        <f>IF('Jelenlét'!H93&gt;=1,'Jelenlét'!H93*'Jelenlét'!$Z93,"")</f>
        <v/>
      </c>
      <c r="I93" s="5" t="str">
        <f>IF('Jelenlét'!I93&gt;=1,'Jelenlét'!I93*'Jelenlét'!$Z93,"")</f>
        <v/>
      </c>
      <c r="J93" s="5" t="str">
        <f>IF('Jelenlét'!J93&gt;=1,'Jelenlét'!J93*'Jelenlét'!$Z93,"")</f>
        <v/>
      </c>
      <c r="K93" s="5" t="str">
        <f>IF('Jelenlét'!K93&gt;=1,'Jelenlét'!K93*'Jelenlét'!$Z93,"")</f>
        <v/>
      </c>
      <c r="L93" s="5" t="str">
        <f>IF('Jelenlét'!L93&gt;=1,'Jelenlét'!L93*'Jelenlét'!$Z93,"")</f>
        <v/>
      </c>
      <c r="M93" s="5" t="str">
        <f>IF('Jelenlét'!M93&gt;=1,'Jelenlét'!M93*'Jelenlét'!$Z93,"")</f>
        <v/>
      </c>
      <c r="N93" s="5" t="str">
        <f>IF('Jelenlét'!N93&gt;=1,'Jelenlét'!N93*'Jelenlét'!$Z93,"")</f>
        <v/>
      </c>
      <c r="O93" s="5" t="str">
        <f>IF('Jelenlét'!O93&gt;=1,'Jelenlét'!O93*'Jelenlét'!$Z93,"")</f>
        <v/>
      </c>
      <c r="P93" s="5" t="str">
        <f>IF('Jelenlét'!P93&gt;=1,'Jelenlét'!P93*'Jelenlét'!$Z93,"")</f>
        <v/>
      </c>
      <c r="Q93" s="5" t="str">
        <f>IF('Jelenlét'!Q93&gt;=1,'Jelenlét'!Q93*'Jelenlét'!$Z93,"")</f>
        <v/>
      </c>
      <c r="R93" s="5" t="str">
        <f>IF('Jelenlét'!R93&gt;=1,'Jelenlét'!R93*'Jelenlét'!$Z93,"")</f>
        <v/>
      </c>
      <c r="S93" s="5" t="str">
        <f>IF('Jelenlét'!S93&gt;=1,'Jelenlét'!S93*'Jelenlét'!$Z93,"")</f>
        <v/>
      </c>
      <c r="T93" s="5" t="str">
        <f>IF('Jelenlét'!T93&gt;=1,'Jelenlét'!T93*'Jelenlét'!$Z93,"")</f>
        <v/>
      </c>
      <c r="U93" s="5" t="str">
        <f>IF('Jelenlét'!U93&gt;=1,'Jelenlét'!U93*'Jelenlét'!$Z93,"")</f>
        <v/>
      </c>
      <c r="V93" s="5" t="str">
        <f>IF('Jelenlét'!V93&gt;=1,'Jelenlét'!V93*'Jelenlét'!$Z93,"")</f>
        <v/>
      </c>
    </row>
    <row r="94">
      <c r="A94" s="8">
        <v>46252.0</v>
      </c>
      <c r="B94" s="5" t="str">
        <f>IF('Jelenlét'!B94&gt;=1,'Jelenlét'!B94*'Jelenlét'!$Z94,"")</f>
        <v/>
      </c>
      <c r="C94" s="5" t="str">
        <f>IF('Jelenlét'!C94&gt;=1,'Jelenlét'!C94*'Jelenlét'!$Z94,"")</f>
        <v/>
      </c>
      <c r="D94" s="5" t="str">
        <f>IF('Jelenlét'!D94&gt;=1,'Jelenlét'!D94*'Jelenlét'!$Z94,"")</f>
        <v/>
      </c>
      <c r="E94" s="5" t="str">
        <f>IF('Jelenlét'!E94&gt;=1,'Jelenlét'!E94*'Jelenlét'!$Z94,"")</f>
        <v/>
      </c>
      <c r="F94" s="5" t="str">
        <f>IF('Jelenlét'!F94&gt;=1,'Jelenlét'!F94*'Jelenlét'!$Z94,"")</f>
        <v/>
      </c>
      <c r="G94" s="5" t="str">
        <f>IF('Jelenlét'!G94&gt;=1,'Jelenlét'!G94*'Jelenlét'!$Z94,"")</f>
        <v/>
      </c>
      <c r="H94" s="5" t="str">
        <f>IF('Jelenlét'!H94&gt;=1,'Jelenlét'!H94*'Jelenlét'!$Z94,"")</f>
        <v/>
      </c>
      <c r="I94" s="5" t="str">
        <f>IF('Jelenlét'!I94&gt;=1,'Jelenlét'!I94*'Jelenlét'!$Z94,"")</f>
        <v/>
      </c>
      <c r="J94" s="5" t="str">
        <f>IF('Jelenlét'!J94&gt;=1,'Jelenlét'!J94*'Jelenlét'!$Z94,"")</f>
        <v/>
      </c>
      <c r="K94" s="5" t="str">
        <f>IF('Jelenlét'!K94&gt;=1,'Jelenlét'!K94*'Jelenlét'!$Z94,"")</f>
        <v/>
      </c>
      <c r="L94" s="5" t="str">
        <f>IF('Jelenlét'!L94&gt;=1,'Jelenlét'!L94*'Jelenlét'!$Z94,"")</f>
        <v/>
      </c>
      <c r="M94" s="5" t="str">
        <f>IF('Jelenlét'!M94&gt;=1,'Jelenlét'!M94*'Jelenlét'!$Z94,"")</f>
        <v/>
      </c>
      <c r="N94" s="5" t="str">
        <f>IF('Jelenlét'!N94&gt;=1,'Jelenlét'!N94*'Jelenlét'!$Z94,"")</f>
        <v/>
      </c>
      <c r="O94" s="5" t="str">
        <f>IF('Jelenlét'!O94&gt;=1,'Jelenlét'!O94*'Jelenlét'!$Z94,"")</f>
        <v/>
      </c>
      <c r="P94" s="5" t="str">
        <f>IF('Jelenlét'!P94&gt;=1,'Jelenlét'!P94*'Jelenlét'!$Z94,"")</f>
        <v/>
      </c>
      <c r="Q94" s="5" t="str">
        <f>IF('Jelenlét'!Q94&gt;=1,'Jelenlét'!Q94*'Jelenlét'!$Z94,"")</f>
        <v/>
      </c>
      <c r="R94" s="5" t="str">
        <f>IF('Jelenlét'!R94&gt;=1,'Jelenlét'!R94*'Jelenlét'!$Z94,"")</f>
        <v/>
      </c>
      <c r="S94" s="5" t="str">
        <f>IF('Jelenlét'!S94&gt;=1,'Jelenlét'!S94*'Jelenlét'!$Z94,"")</f>
        <v/>
      </c>
      <c r="T94" s="5" t="str">
        <f>IF('Jelenlét'!T94&gt;=1,'Jelenlét'!T94*'Jelenlét'!$Z94,"")</f>
        <v/>
      </c>
      <c r="U94" s="5" t="str">
        <f>IF('Jelenlét'!U94&gt;=1,'Jelenlét'!U94*'Jelenlét'!$Z94,"")</f>
        <v/>
      </c>
      <c r="V94" s="5" t="str">
        <f>IF('Jelenlét'!V94&gt;=1,'Jelenlét'!V94*'Jelenlét'!$Z94,"")</f>
        <v/>
      </c>
    </row>
    <row r="95">
      <c r="A95" s="8">
        <v>46259.0</v>
      </c>
      <c r="B95" s="5" t="str">
        <f>IF('Jelenlét'!B95&gt;=1,'Jelenlét'!B95*'Jelenlét'!$Z95,"")</f>
        <v/>
      </c>
      <c r="C95" s="5" t="str">
        <f>IF('Jelenlét'!C95&gt;=1,'Jelenlét'!C95*'Jelenlét'!$Z95,"")</f>
        <v/>
      </c>
      <c r="D95" s="5" t="str">
        <f>IF('Jelenlét'!D95&gt;=1,'Jelenlét'!D95*'Jelenlét'!$Z95,"")</f>
        <v/>
      </c>
      <c r="E95" s="5" t="str">
        <f>IF('Jelenlét'!E95&gt;=1,'Jelenlét'!E95*'Jelenlét'!$Z95,"")</f>
        <v/>
      </c>
      <c r="F95" s="5" t="str">
        <f>IF('Jelenlét'!F95&gt;=1,'Jelenlét'!F95*'Jelenlét'!$Z95,"")</f>
        <v/>
      </c>
      <c r="G95" s="5" t="str">
        <f>IF('Jelenlét'!G95&gt;=1,'Jelenlét'!G95*'Jelenlét'!$Z95,"")</f>
        <v/>
      </c>
      <c r="H95" s="5" t="str">
        <f>IF('Jelenlét'!H95&gt;=1,'Jelenlét'!H95*'Jelenlét'!$Z95,"")</f>
        <v/>
      </c>
      <c r="I95" s="5" t="str">
        <f>IF('Jelenlét'!I95&gt;=1,'Jelenlét'!I95*'Jelenlét'!$Z95,"")</f>
        <v/>
      </c>
      <c r="J95" s="5" t="str">
        <f>IF('Jelenlét'!J95&gt;=1,'Jelenlét'!J95*'Jelenlét'!$Z95,"")</f>
        <v/>
      </c>
      <c r="K95" s="5" t="str">
        <f>IF('Jelenlét'!K95&gt;=1,'Jelenlét'!K95*'Jelenlét'!$Z95,"")</f>
        <v/>
      </c>
      <c r="L95" s="5" t="str">
        <f>IF('Jelenlét'!L95&gt;=1,'Jelenlét'!L95*'Jelenlét'!$Z95,"")</f>
        <v/>
      </c>
      <c r="M95" s="5" t="str">
        <f>IF('Jelenlét'!M95&gt;=1,'Jelenlét'!M95*'Jelenlét'!$Z95,"")</f>
        <v/>
      </c>
      <c r="N95" s="5" t="str">
        <f>IF('Jelenlét'!N95&gt;=1,'Jelenlét'!N95*'Jelenlét'!$Z95,"")</f>
        <v/>
      </c>
      <c r="O95" s="5" t="str">
        <f>IF('Jelenlét'!O95&gt;=1,'Jelenlét'!O95*'Jelenlét'!$Z95,"")</f>
        <v/>
      </c>
      <c r="P95" s="5" t="str">
        <f>IF('Jelenlét'!P95&gt;=1,'Jelenlét'!P95*'Jelenlét'!$Z95,"")</f>
        <v/>
      </c>
      <c r="Q95" s="5" t="str">
        <f>IF('Jelenlét'!Q95&gt;=1,'Jelenlét'!Q95*'Jelenlét'!$Z95,"")</f>
        <v/>
      </c>
      <c r="R95" s="5" t="str">
        <f>IF('Jelenlét'!R95&gt;=1,'Jelenlét'!R95*'Jelenlét'!$Z95,"")</f>
        <v/>
      </c>
      <c r="S95" s="5" t="str">
        <f>IF('Jelenlét'!S95&gt;=1,'Jelenlét'!S95*'Jelenlét'!$Z95,"")</f>
        <v/>
      </c>
      <c r="T95" s="5" t="str">
        <f>IF('Jelenlét'!T95&gt;=1,'Jelenlét'!T95*'Jelenlét'!$Z95,"")</f>
        <v/>
      </c>
      <c r="U95" s="5" t="str">
        <f>IF('Jelenlét'!U95&gt;=1,'Jelenlét'!U95*'Jelenlét'!$Z95,"")</f>
        <v/>
      </c>
      <c r="V95" s="5" t="str">
        <f>IF('Jelenlét'!V95&gt;=1,'Jelenlét'!V95*'Jelenlét'!$Z95,"")</f>
        <v/>
      </c>
    </row>
    <row r="96">
      <c r="B96" s="5" t="str">
        <f>IF('Jelenlét'!B96="Jövök :)",'Jelenlét'!$Z96,"")</f>
        <v/>
      </c>
      <c r="C96" s="5" t="str">
        <f>IF('Jelenlét'!C96="Jövök :)",'Jelenlét'!$Z96,"")</f>
        <v/>
      </c>
      <c r="D96" s="5" t="str">
        <f>IF('Jelenlét'!D96="Jövök :)",'Jelenlét'!$Z96,"")</f>
        <v/>
      </c>
      <c r="E96" s="5" t="str">
        <f>IF('Jelenlét'!E96="Jövök :)",'Jelenlét'!$Z96,"")</f>
        <v/>
      </c>
      <c r="F96" s="5" t="str">
        <f>IF('Jelenlét'!F96="Jövök :)",'Jelenlét'!$Z96,"")</f>
        <v/>
      </c>
      <c r="G96" s="5" t="str">
        <f>IF('Jelenlét'!G96="Jövök :)",'Jelenlét'!$Z96,"")</f>
        <v/>
      </c>
      <c r="H96" s="5" t="str">
        <f>IF('Jelenlét'!H96="Jövök :)",'Jelenlét'!$Z96,"")</f>
        <v/>
      </c>
      <c r="I96" s="5" t="str">
        <f>IF('Jelenlét'!I96="Jövök :)",'Jelenlét'!$Z96,"")</f>
        <v/>
      </c>
      <c r="J96" s="5" t="str">
        <f>IF('Jelenlét'!J96="Jövök :)",'Jelenlét'!$Z96,"")</f>
        <v/>
      </c>
      <c r="K96" s="5" t="str">
        <f>IF('Jelenlét'!K96="Jövök :)",'Jelenlét'!$Z96,"")</f>
        <v/>
      </c>
      <c r="L96" s="5" t="str">
        <f>IF('Jelenlét'!L96="Jövök :)",'Jelenlét'!$Z96,"")</f>
        <v/>
      </c>
      <c r="M96" s="5" t="str">
        <f>IF('Jelenlét'!M96="Jövök :)",'Jelenlét'!$Z96,"")</f>
        <v/>
      </c>
      <c r="N96" s="5" t="str">
        <f>IF('Jelenlét'!N96="Jövök :)",'Jelenlét'!$Z96,"")</f>
        <v/>
      </c>
      <c r="O96" s="5" t="str">
        <f>IF('Jelenlét'!O96="Jövök :)",'Jelenlét'!$Z96,"")</f>
        <v/>
      </c>
      <c r="P96" s="5" t="str">
        <f>IF('Jelenlét'!P96="Jövök :)",'Jelenlét'!$Z96,"")</f>
        <v/>
      </c>
      <c r="Q96" s="5" t="str">
        <f>IF('Jelenlét'!Q96="Jövök :)",'Jelenlét'!$Z96,"")</f>
        <v/>
      </c>
      <c r="R96" s="5" t="str">
        <f>IF('Jelenlét'!R96="Jövök :)",'Jelenlét'!$Z96,"")</f>
        <v/>
      </c>
      <c r="S96" s="5" t="str">
        <f>IF('Jelenlét'!S96="Jövök :)",'Jelenlét'!$Z96,"")</f>
        <v/>
      </c>
      <c r="T96" s="5" t="str">
        <f>IF('Jelenlét'!T96="Jövök :)",'Jelenlét'!$Z96,"")</f>
        <v/>
      </c>
      <c r="U96" s="5" t="str">
        <f>IF('Jelenlét'!U96="Jövök :)",'Jelenlét'!$Z96,"")</f>
        <v/>
      </c>
      <c r="V96" s="5" t="str">
        <f>IF('Jelenlét'!V96="Jövök :)",'Jelenlét'!$Z96,"")</f>
        <v/>
      </c>
    </row>
    <row r="97">
      <c r="B97" s="5" t="str">
        <f>IF('Jelenlét'!B97="Jövök :)",'Jelenlét'!$Z97,"")</f>
        <v/>
      </c>
      <c r="C97" s="5" t="str">
        <f>IF('Jelenlét'!C97="Jövök :)",'Jelenlét'!$Z97,"")</f>
        <v/>
      </c>
      <c r="D97" s="5" t="str">
        <f>IF('Jelenlét'!D97="Jövök :)",'Jelenlét'!$Z97,"")</f>
        <v/>
      </c>
      <c r="E97" s="5" t="str">
        <f>IF('Jelenlét'!E97="Jövök :)",'Jelenlét'!$Z97,"")</f>
        <v/>
      </c>
      <c r="F97" s="5" t="str">
        <f>IF('Jelenlét'!F97="Jövök :)",'Jelenlét'!$Z97,"")</f>
        <v/>
      </c>
      <c r="G97" s="5" t="str">
        <f>IF('Jelenlét'!G97="Jövök :)",'Jelenlét'!$Z97,"")</f>
        <v/>
      </c>
      <c r="H97" s="5" t="str">
        <f>IF('Jelenlét'!H97="Jövök :)",'Jelenlét'!$Z97,"")</f>
        <v/>
      </c>
      <c r="I97" s="5" t="str">
        <f>IF('Jelenlét'!I97="Jövök :)",'Jelenlét'!$Z97,"")</f>
        <v/>
      </c>
      <c r="J97" s="5" t="str">
        <f>IF('Jelenlét'!J97="Jövök :)",'Jelenlét'!$Z97,"")</f>
        <v/>
      </c>
      <c r="K97" s="5" t="str">
        <f>IF('Jelenlét'!K97="Jövök :)",'Jelenlét'!$Z97,"")</f>
        <v/>
      </c>
      <c r="L97" s="5" t="str">
        <f>IF('Jelenlét'!L97="Jövök :)",'Jelenlét'!$Z97,"")</f>
        <v/>
      </c>
      <c r="M97" s="5" t="str">
        <f>IF('Jelenlét'!M97="Jövök :)",'Jelenlét'!$Z97,"")</f>
        <v/>
      </c>
      <c r="N97" s="5" t="str">
        <f>IF('Jelenlét'!N97="Jövök :)",'Jelenlét'!$Z97,"")</f>
        <v/>
      </c>
      <c r="O97" s="5" t="str">
        <f>IF('Jelenlét'!O97="Jövök :)",'Jelenlét'!$Z97,"")</f>
        <v/>
      </c>
      <c r="P97" s="5" t="str">
        <f>IF('Jelenlét'!P97="Jövök :)",'Jelenlét'!$Z97,"")</f>
        <v/>
      </c>
      <c r="Q97" s="5" t="str">
        <f>IF('Jelenlét'!Q97="Jövök :)",'Jelenlét'!$Z97,"")</f>
        <v/>
      </c>
      <c r="R97" s="5" t="str">
        <f>IF('Jelenlét'!R97="Jövök :)",'Jelenlét'!$Z97,"")</f>
        <v/>
      </c>
      <c r="S97" s="5" t="str">
        <f>IF('Jelenlét'!S97="Jövök :)",'Jelenlét'!$Z97,"")</f>
        <v/>
      </c>
      <c r="T97" s="5" t="str">
        <f>IF('Jelenlét'!T97="Jövök :)",'Jelenlét'!$Z97,"")</f>
        <v/>
      </c>
      <c r="U97" s="5" t="str">
        <f>IF('Jelenlét'!U97="Jövök :)",'Jelenlét'!$Z97,"")</f>
        <v/>
      </c>
      <c r="V97" s="5" t="str">
        <f>IF('Jelenlét'!V97="Jövök :)",'Jelenlét'!$Z97,"")</f>
        <v/>
      </c>
    </row>
    <row r="98">
      <c r="B98" s="5" t="str">
        <f>IF('Jelenlét'!B98="Jövök :)",'Jelenlét'!$Z98,"")</f>
        <v/>
      </c>
      <c r="C98" s="5" t="str">
        <f>IF('Jelenlét'!C98="Jövök :)",'Jelenlét'!$Z98,"")</f>
        <v/>
      </c>
      <c r="D98" s="5" t="str">
        <f>IF('Jelenlét'!D98="Jövök :)",'Jelenlét'!$Z98,"")</f>
        <v/>
      </c>
      <c r="E98" s="5" t="str">
        <f>IF('Jelenlét'!E98="Jövök :)",'Jelenlét'!$Z98,"")</f>
        <v/>
      </c>
      <c r="F98" s="5" t="str">
        <f>IF('Jelenlét'!F98="Jövök :)",'Jelenlét'!$Z98,"")</f>
        <v/>
      </c>
      <c r="G98" s="5" t="str">
        <f>IF('Jelenlét'!G98="Jövök :)",'Jelenlét'!$Z98,"")</f>
        <v/>
      </c>
      <c r="H98" s="5" t="str">
        <f>IF('Jelenlét'!H98="Jövök :)",'Jelenlét'!$Z98,"")</f>
        <v/>
      </c>
      <c r="I98" s="5" t="str">
        <f>IF('Jelenlét'!I98="Jövök :)",'Jelenlét'!$Z98,"")</f>
        <v/>
      </c>
      <c r="J98" s="5" t="str">
        <f>IF('Jelenlét'!J98="Jövök :)",'Jelenlét'!$Z98,"")</f>
        <v/>
      </c>
      <c r="K98" s="5" t="str">
        <f>IF('Jelenlét'!K98="Jövök :)",'Jelenlét'!$Z98,"")</f>
        <v/>
      </c>
      <c r="L98" s="5" t="str">
        <f>IF('Jelenlét'!L98="Jövök :)",'Jelenlét'!$Z98,"")</f>
        <v/>
      </c>
      <c r="M98" s="5" t="str">
        <f>IF('Jelenlét'!M98="Jövök :)",'Jelenlét'!$Z98,"")</f>
        <v/>
      </c>
      <c r="N98" s="5" t="str">
        <f>IF('Jelenlét'!N98="Jövök :)",'Jelenlét'!$Z98,"")</f>
        <v/>
      </c>
      <c r="O98" s="5" t="str">
        <f>IF('Jelenlét'!O98="Jövök :)",'Jelenlét'!$Z98,"")</f>
        <v/>
      </c>
      <c r="P98" s="5" t="str">
        <f>IF('Jelenlét'!P98="Jövök :)",'Jelenlét'!$Z98,"")</f>
        <v/>
      </c>
      <c r="Q98" s="5" t="str">
        <f>IF('Jelenlét'!Q98="Jövök :)",'Jelenlét'!$Z98,"")</f>
        <v/>
      </c>
      <c r="R98" s="5" t="str">
        <f>IF('Jelenlét'!R98="Jövök :)",'Jelenlét'!$Z98,"")</f>
        <v/>
      </c>
      <c r="S98" s="5" t="str">
        <f>IF('Jelenlét'!S98="Jövök :)",'Jelenlét'!$Z98,"")</f>
        <v/>
      </c>
      <c r="T98" s="5" t="str">
        <f>IF('Jelenlét'!T98="Jövök :)",'Jelenlét'!$Z98,"")</f>
        <v/>
      </c>
      <c r="U98" s="5" t="str">
        <f>IF('Jelenlét'!U98="Jövök :)",'Jelenlét'!$Z98,"")</f>
        <v/>
      </c>
      <c r="V98" s="5" t="str">
        <f>IF('Jelenlét'!V98="Jövök :)",'Jelenlét'!$Z98,"")</f>
        <v/>
      </c>
    </row>
    <row r="99">
      <c r="B99" s="5" t="str">
        <f>IF('Jelenlét'!B99="Jövök :)",'Jelenlét'!$Z99,"")</f>
        <v/>
      </c>
      <c r="C99" s="5" t="str">
        <f>IF('Jelenlét'!C99="Jövök :)",'Jelenlét'!$Z99,"")</f>
        <v/>
      </c>
      <c r="D99" s="5" t="str">
        <f>IF('Jelenlét'!D99="Jövök :)",'Jelenlét'!$Z99,"")</f>
        <v/>
      </c>
      <c r="E99" s="5" t="str">
        <f>IF('Jelenlét'!E99="Jövök :)",'Jelenlét'!$Z99,"")</f>
        <v/>
      </c>
      <c r="F99" s="5" t="str">
        <f>IF('Jelenlét'!F99="Jövök :)",'Jelenlét'!$Z99,"")</f>
        <v/>
      </c>
      <c r="G99" s="5" t="str">
        <f>IF('Jelenlét'!G99="Jövök :)",'Jelenlét'!$Z99,"")</f>
        <v/>
      </c>
      <c r="H99" s="5" t="str">
        <f>IF('Jelenlét'!H99="Jövök :)",'Jelenlét'!$Z99,"")</f>
        <v/>
      </c>
      <c r="I99" s="5" t="str">
        <f>IF('Jelenlét'!I99="Jövök :)",'Jelenlét'!$Z99,"")</f>
        <v/>
      </c>
      <c r="J99" s="5" t="str">
        <f>IF('Jelenlét'!J99="Jövök :)",'Jelenlét'!$Z99,"")</f>
        <v/>
      </c>
      <c r="K99" s="5" t="str">
        <f>IF('Jelenlét'!K99="Jövök :)",'Jelenlét'!$Z99,"")</f>
        <v/>
      </c>
      <c r="L99" s="5" t="str">
        <f>IF('Jelenlét'!L99="Jövök :)",'Jelenlét'!$Z99,"")</f>
        <v/>
      </c>
      <c r="M99" s="5" t="str">
        <f>IF('Jelenlét'!M99="Jövök :)",'Jelenlét'!$Z99,"")</f>
        <v/>
      </c>
      <c r="N99" s="5" t="str">
        <f>IF('Jelenlét'!N99="Jövök :)",'Jelenlét'!$Z99,"")</f>
        <v/>
      </c>
      <c r="O99" s="5" t="str">
        <f>IF('Jelenlét'!O99="Jövök :)",'Jelenlét'!$Z99,"")</f>
        <v/>
      </c>
      <c r="P99" s="5" t="str">
        <f>IF('Jelenlét'!P99="Jövök :)",'Jelenlét'!$Z99,"")</f>
        <v/>
      </c>
      <c r="Q99" s="5" t="str">
        <f>IF('Jelenlét'!Q99="Jövök :)",'Jelenlét'!$Z99,"")</f>
        <v/>
      </c>
      <c r="R99" s="5" t="str">
        <f>IF('Jelenlét'!R99="Jövök :)",'Jelenlét'!$Z99,"")</f>
        <v/>
      </c>
      <c r="S99" s="5" t="str">
        <f>IF('Jelenlét'!S99="Jövök :)",'Jelenlét'!$Z99,"")</f>
        <v/>
      </c>
      <c r="T99" s="5" t="str">
        <f>IF('Jelenlét'!T99="Jövök :)",'Jelenlét'!$Z99,"")</f>
        <v/>
      </c>
      <c r="U99" s="5" t="str">
        <f>IF('Jelenlét'!U99="Jövök :)",'Jelenlét'!$Z99,"")</f>
        <v/>
      </c>
      <c r="V99" s="5" t="str">
        <f>IF('Jelenlét'!V99="Jövök :)",'Jelenlét'!$Z99,"")</f>
        <v/>
      </c>
    </row>
    <row r="100">
      <c r="B100" s="5" t="str">
        <f>IF('Jelenlét'!B100="Jövök :)",'Jelenlét'!$Z100,"")</f>
        <v/>
      </c>
      <c r="C100" s="5" t="str">
        <f>IF('Jelenlét'!C100="Jövök :)",'Jelenlét'!$Z100,"")</f>
        <v/>
      </c>
      <c r="D100" s="5" t="str">
        <f>IF('Jelenlét'!D100="Jövök :)",'Jelenlét'!$Z100,"")</f>
        <v/>
      </c>
      <c r="E100" s="5" t="str">
        <f>IF('Jelenlét'!E100="Jövök :)",'Jelenlét'!$Z100,"")</f>
        <v/>
      </c>
      <c r="F100" s="5" t="str">
        <f>IF('Jelenlét'!F100="Jövök :)",'Jelenlét'!$Z100,"")</f>
        <v/>
      </c>
      <c r="G100" s="5" t="str">
        <f>IF('Jelenlét'!G100="Jövök :)",'Jelenlét'!$Z100,"")</f>
        <v/>
      </c>
      <c r="H100" s="5" t="str">
        <f>IF('Jelenlét'!H100="Jövök :)",'Jelenlét'!$Z100,"")</f>
        <v/>
      </c>
      <c r="I100" s="5" t="str">
        <f>IF('Jelenlét'!I100="Jövök :)",'Jelenlét'!$Z100,"")</f>
        <v/>
      </c>
      <c r="J100" s="5" t="str">
        <f>IF('Jelenlét'!J100="Jövök :)",'Jelenlét'!$Z100,"")</f>
        <v/>
      </c>
      <c r="K100" s="5" t="str">
        <f>IF('Jelenlét'!K100="Jövök :)",'Jelenlét'!$Z100,"")</f>
        <v/>
      </c>
      <c r="L100" s="5" t="str">
        <f>IF('Jelenlét'!L100="Jövök :)",'Jelenlét'!$Z100,"")</f>
        <v/>
      </c>
      <c r="M100" s="5" t="str">
        <f>IF('Jelenlét'!M100="Jövök :)",'Jelenlét'!$Z100,"")</f>
        <v/>
      </c>
      <c r="N100" s="5" t="str">
        <f>IF('Jelenlét'!N100="Jövök :)",'Jelenlét'!$Z100,"")</f>
        <v/>
      </c>
      <c r="O100" s="5" t="str">
        <f>IF('Jelenlét'!O100="Jövök :)",'Jelenlét'!$Z100,"")</f>
        <v/>
      </c>
      <c r="P100" s="5" t="str">
        <f>IF('Jelenlét'!P100="Jövök :)",'Jelenlét'!$Z100,"")</f>
        <v/>
      </c>
      <c r="Q100" s="5" t="str">
        <f>IF('Jelenlét'!Q100="Jövök :)",'Jelenlét'!$Z100,"")</f>
        <v/>
      </c>
      <c r="R100" s="5" t="str">
        <f>IF('Jelenlét'!R100="Jövök :)",'Jelenlét'!$Z100,"")</f>
        <v/>
      </c>
      <c r="S100" s="5" t="str">
        <f>IF('Jelenlét'!S100="Jövök :)",'Jelenlét'!$Z100,"")</f>
        <v/>
      </c>
      <c r="T100" s="5" t="str">
        <f>IF('Jelenlét'!T100="Jövök :)",'Jelenlét'!$Z100,"")</f>
        <v/>
      </c>
      <c r="U100" s="5" t="str">
        <f>IF('Jelenlét'!U100="Jövök :)",'Jelenlét'!$Z100,"")</f>
        <v/>
      </c>
      <c r="V100" s="5" t="str">
        <f>IF('Jelenlét'!V100="Jövök :)",'Jelenlét'!$Z100,"")</f>
        <v/>
      </c>
    </row>
    <row r="101">
      <c r="B101" s="5" t="str">
        <f>IF('Jelenlét'!B101="Jövök :)",'Jelenlét'!$Z101,"")</f>
        <v/>
      </c>
      <c r="C101" s="5" t="str">
        <f>IF('Jelenlét'!C101="Jövök :)",'Jelenlét'!$Z101,"")</f>
        <v/>
      </c>
      <c r="D101" s="5" t="str">
        <f>IF('Jelenlét'!D101="Jövök :)",'Jelenlét'!$Z101,"")</f>
        <v/>
      </c>
      <c r="E101" s="5" t="str">
        <f>IF('Jelenlét'!E101="Jövök :)",'Jelenlét'!$Z101,"")</f>
        <v/>
      </c>
      <c r="F101" s="5" t="str">
        <f>IF('Jelenlét'!F101="Jövök :)",'Jelenlét'!$Z101,"")</f>
        <v/>
      </c>
      <c r="G101" s="5" t="str">
        <f>IF('Jelenlét'!G101="Jövök :)",'Jelenlét'!$Z101,"")</f>
        <v/>
      </c>
      <c r="H101" s="5" t="str">
        <f>IF('Jelenlét'!H101="Jövök :)",'Jelenlét'!$Z101,"")</f>
        <v/>
      </c>
      <c r="I101" s="5" t="str">
        <f>IF('Jelenlét'!I101="Jövök :)",'Jelenlét'!$Z101,"")</f>
        <v/>
      </c>
      <c r="J101" s="5" t="str">
        <f>IF('Jelenlét'!J101="Jövök :)",'Jelenlét'!$Z101,"")</f>
        <v/>
      </c>
      <c r="K101" s="5" t="str">
        <f>IF('Jelenlét'!K101="Jövök :)",'Jelenlét'!$Z101,"")</f>
        <v/>
      </c>
      <c r="L101" s="5" t="str">
        <f>IF('Jelenlét'!L101="Jövök :)",'Jelenlét'!$Z101,"")</f>
        <v/>
      </c>
      <c r="M101" s="5" t="str">
        <f>IF('Jelenlét'!M101="Jövök :)",'Jelenlét'!$Z101,"")</f>
        <v/>
      </c>
      <c r="N101" s="5" t="str">
        <f>IF('Jelenlét'!N101="Jövök :)",'Jelenlét'!$Z101,"")</f>
        <v/>
      </c>
      <c r="O101" s="5" t="str">
        <f>IF('Jelenlét'!O101="Jövök :)",'Jelenlét'!$Z101,"")</f>
        <v/>
      </c>
      <c r="P101" s="5" t="str">
        <f>IF('Jelenlét'!P101="Jövök :)",'Jelenlét'!$Z101,"")</f>
        <v/>
      </c>
      <c r="Q101" s="5" t="str">
        <f>IF('Jelenlét'!Q101="Jövök :)",'Jelenlét'!$Z101,"")</f>
        <v/>
      </c>
      <c r="R101" s="5" t="str">
        <f>IF('Jelenlét'!R101="Jövök :)",'Jelenlét'!$Z101,"")</f>
        <v/>
      </c>
      <c r="S101" s="5" t="str">
        <f>IF('Jelenlét'!S101="Jövök :)",'Jelenlét'!$Z101,"")</f>
        <v/>
      </c>
      <c r="T101" s="5" t="str">
        <f>IF('Jelenlét'!T101="Jövök :)",'Jelenlét'!$Z101,"")</f>
        <v/>
      </c>
      <c r="U101" s="5" t="str">
        <f>IF('Jelenlét'!U101="Jövök :)",'Jelenlét'!$Z101,"")</f>
        <v/>
      </c>
      <c r="V101" s="5" t="str">
        <f>IF('Jelenlét'!V101="Jövök :)",'Jelenlét'!$Z101,"")</f>
        <v/>
      </c>
    </row>
    <row r="102">
      <c r="B102" s="5" t="str">
        <f>IF('Jelenlét'!B102="Jövök :)",'Jelenlét'!$Z102,"")</f>
        <v/>
      </c>
      <c r="C102" s="5" t="str">
        <f>IF('Jelenlét'!C102="Jövök :)",'Jelenlét'!$Z102,"")</f>
        <v/>
      </c>
      <c r="D102" s="5" t="str">
        <f>IF('Jelenlét'!D102="Jövök :)",'Jelenlét'!$Z102,"")</f>
        <v/>
      </c>
      <c r="E102" s="5" t="str">
        <f>IF('Jelenlét'!E102="Jövök :)",'Jelenlét'!$Z102,"")</f>
        <v/>
      </c>
      <c r="F102" s="5" t="str">
        <f>IF('Jelenlét'!F102="Jövök :)",'Jelenlét'!$Z102,"")</f>
        <v/>
      </c>
      <c r="G102" s="5" t="str">
        <f>IF('Jelenlét'!G102="Jövök :)",'Jelenlét'!$Z102,"")</f>
        <v/>
      </c>
      <c r="H102" s="5" t="str">
        <f>IF('Jelenlét'!H102="Jövök :)",'Jelenlét'!$Z102,"")</f>
        <v/>
      </c>
      <c r="I102" s="5" t="str">
        <f>IF('Jelenlét'!I102="Jövök :)",'Jelenlét'!$Z102,"")</f>
        <v/>
      </c>
      <c r="J102" s="5" t="str">
        <f>IF('Jelenlét'!J102="Jövök :)",'Jelenlét'!$Z102,"")</f>
        <v/>
      </c>
      <c r="K102" s="5" t="str">
        <f>IF('Jelenlét'!K102="Jövök :)",'Jelenlét'!$Z102,"")</f>
        <v/>
      </c>
      <c r="L102" s="5" t="str">
        <f>IF('Jelenlét'!L102="Jövök :)",'Jelenlét'!$Z102,"")</f>
        <v/>
      </c>
      <c r="M102" s="5" t="str">
        <f>IF('Jelenlét'!M102="Jövök :)",'Jelenlét'!$Z102,"")</f>
        <v/>
      </c>
      <c r="N102" s="5" t="str">
        <f>IF('Jelenlét'!N102="Jövök :)",'Jelenlét'!$Z102,"")</f>
        <v/>
      </c>
      <c r="O102" s="5" t="str">
        <f>IF('Jelenlét'!O102="Jövök :)",'Jelenlét'!$Z102,"")</f>
        <v/>
      </c>
      <c r="P102" s="5" t="str">
        <f>IF('Jelenlét'!P102="Jövök :)",'Jelenlét'!$Z102,"")</f>
        <v/>
      </c>
      <c r="Q102" s="5" t="str">
        <f>IF('Jelenlét'!Q102="Jövök :)",'Jelenlét'!$Z102,"")</f>
        <v/>
      </c>
      <c r="R102" s="5" t="str">
        <f>IF('Jelenlét'!R102="Jövök :)",'Jelenlét'!$Z102,"")</f>
        <v/>
      </c>
      <c r="S102" s="5" t="str">
        <f>IF('Jelenlét'!S102="Jövök :)",'Jelenlét'!$Z102,"")</f>
        <v/>
      </c>
      <c r="T102" s="5" t="str">
        <f>IF('Jelenlét'!T102="Jövök :)",'Jelenlét'!$Z102,"")</f>
        <v/>
      </c>
      <c r="U102" s="5" t="str">
        <f>IF('Jelenlét'!U102="Jövök :)",'Jelenlét'!$Z102,"")</f>
        <v/>
      </c>
      <c r="V102" s="5" t="str">
        <f>IF('Jelenlét'!V102="Jövök :)",'Jelenlét'!$Z102,"")</f>
        <v/>
      </c>
    </row>
    <row r="103">
      <c r="B103" s="5" t="str">
        <f>IF('Jelenlét'!B103="Jövök :)",'Jelenlét'!$Z103,"")</f>
        <v/>
      </c>
      <c r="C103" s="5" t="str">
        <f>IF('Jelenlét'!C103="Jövök :)",'Jelenlét'!$Z103,"")</f>
        <v/>
      </c>
      <c r="D103" s="5" t="str">
        <f>IF('Jelenlét'!D103="Jövök :)",'Jelenlét'!$Z103,"")</f>
        <v/>
      </c>
      <c r="E103" s="5" t="str">
        <f>IF('Jelenlét'!E103="Jövök :)",'Jelenlét'!$Z103,"")</f>
        <v/>
      </c>
      <c r="F103" s="5" t="str">
        <f>IF('Jelenlét'!F103="Jövök :)",'Jelenlét'!$Z103,"")</f>
        <v/>
      </c>
      <c r="G103" s="5" t="str">
        <f>IF('Jelenlét'!G103="Jövök :)",'Jelenlét'!$Z103,"")</f>
        <v/>
      </c>
      <c r="H103" s="5" t="str">
        <f>IF('Jelenlét'!H103="Jövök :)",'Jelenlét'!$Z103,"")</f>
        <v/>
      </c>
      <c r="I103" s="5" t="str">
        <f>IF('Jelenlét'!I103="Jövök :)",'Jelenlét'!$Z103,"")</f>
        <v/>
      </c>
      <c r="J103" s="5" t="str">
        <f>IF('Jelenlét'!J103="Jövök :)",'Jelenlét'!$Z103,"")</f>
        <v/>
      </c>
      <c r="K103" s="5" t="str">
        <f>IF('Jelenlét'!K103="Jövök :)",'Jelenlét'!$Z103,"")</f>
        <v/>
      </c>
      <c r="L103" s="5" t="str">
        <f>IF('Jelenlét'!L103="Jövök :)",'Jelenlét'!$Z103,"")</f>
        <v/>
      </c>
      <c r="M103" s="5" t="str">
        <f>IF('Jelenlét'!M103="Jövök :)",'Jelenlét'!$Z103,"")</f>
        <v/>
      </c>
      <c r="N103" s="5" t="str">
        <f>IF('Jelenlét'!N103="Jövök :)",'Jelenlét'!$Z103,"")</f>
        <v/>
      </c>
      <c r="O103" s="5" t="str">
        <f>IF('Jelenlét'!O103="Jövök :)",'Jelenlét'!$Z103,"")</f>
        <v/>
      </c>
      <c r="P103" s="5" t="str">
        <f>IF('Jelenlét'!P103="Jövök :)",'Jelenlét'!$Z103,"")</f>
        <v/>
      </c>
      <c r="Q103" s="5" t="str">
        <f>IF('Jelenlét'!Q103="Jövök :)",'Jelenlét'!$Z103,"")</f>
        <v/>
      </c>
      <c r="R103" s="5" t="str">
        <f>IF('Jelenlét'!R103="Jövök :)",'Jelenlét'!$Z103,"")</f>
        <v/>
      </c>
      <c r="S103" s="5" t="str">
        <f>IF('Jelenlét'!S103="Jövök :)",'Jelenlét'!$Z103,"")</f>
        <v/>
      </c>
      <c r="T103" s="5" t="str">
        <f>IF('Jelenlét'!T103="Jövök :)",'Jelenlét'!$Z103,"")</f>
        <v/>
      </c>
      <c r="U103" s="5" t="str">
        <f>IF('Jelenlét'!U103="Jövök :)",'Jelenlét'!$Z103,"")</f>
        <v/>
      </c>
      <c r="V103" s="5" t="str">
        <f>IF('Jelenlét'!V103="Jövök :)",'Jelenlét'!$Z103,"")</f>
        <v/>
      </c>
    </row>
    <row r="104">
      <c r="B104" s="5" t="str">
        <f>IF('Jelenlét'!B104="Jövök :)",'Jelenlét'!$Z104,"")</f>
        <v/>
      </c>
      <c r="C104" s="5" t="str">
        <f>IF('Jelenlét'!C104="Jövök :)",'Jelenlét'!$Z104,"")</f>
        <v/>
      </c>
      <c r="D104" s="5" t="str">
        <f>IF('Jelenlét'!D104="Jövök :)",'Jelenlét'!$Z104,"")</f>
        <v/>
      </c>
      <c r="E104" s="5" t="str">
        <f>IF('Jelenlét'!E104="Jövök :)",'Jelenlét'!$Z104,"")</f>
        <v/>
      </c>
      <c r="F104" s="5" t="str">
        <f>IF('Jelenlét'!F104="Jövök :)",'Jelenlét'!$Z104,"")</f>
        <v/>
      </c>
      <c r="G104" s="5" t="str">
        <f>IF('Jelenlét'!G104="Jövök :)",'Jelenlét'!$Z104,"")</f>
        <v/>
      </c>
      <c r="H104" s="5" t="str">
        <f>IF('Jelenlét'!H104="Jövök :)",'Jelenlét'!$Z104,"")</f>
        <v/>
      </c>
      <c r="I104" s="5" t="str">
        <f>IF('Jelenlét'!I104="Jövök :)",'Jelenlét'!$Z104,"")</f>
        <v/>
      </c>
      <c r="J104" s="5" t="str">
        <f>IF('Jelenlét'!J104="Jövök :)",'Jelenlét'!$Z104,"")</f>
        <v/>
      </c>
      <c r="K104" s="5" t="str">
        <f>IF('Jelenlét'!K104="Jövök :)",'Jelenlét'!$Z104,"")</f>
        <v/>
      </c>
      <c r="L104" s="5" t="str">
        <f>IF('Jelenlét'!L104="Jövök :)",'Jelenlét'!$Z104,"")</f>
        <v/>
      </c>
      <c r="M104" s="5" t="str">
        <f>IF('Jelenlét'!M104="Jövök :)",'Jelenlét'!$Z104,"")</f>
        <v/>
      </c>
      <c r="N104" s="5" t="str">
        <f>IF('Jelenlét'!N104="Jövök :)",'Jelenlét'!$Z104,"")</f>
        <v/>
      </c>
      <c r="O104" s="5" t="str">
        <f>IF('Jelenlét'!O104="Jövök :)",'Jelenlét'!$Z104,"")</f>
        <v/>
      </c>
      <c r="P104" s="5" t="str">
        <f>IF('Jelenlét'!P104="Jövök :)",'Jelenlét'!$Z104,"")</f>
        <v/>
      </c>
      <c r="Q104" s="5" t="str">
        <f>IF('Jelenlét'!Q104="Jövök :)",'Jelenlét'!$Z104,"")</f>
        <v/>
      </c>
      <c r="R104" s="5" t="str">
        <f>IF('Jelenlét'!R104="Jövök :)",'Jelenlét'!$Z104,"")</f>
        <v/>
      </c>
      <c r="S104" s="5" t="str">
        <f>IF('Jelenlét'!S104="Jövök :)",'Jelenlét'!$Z104,"")</f>
        <v/>
      </c>
      <c r="T104" s="5" t="str">
        <f>IF('Jelenlét'!T104="Jövök :)",'Jelenlét'!$Z104,"")</f>
        <v/>
      </c>
      <c r="U104" s="5" t="str">
        <f>IF('Jelenlét'!U104="Jövök :)",'Jelenlét'!$Z104,"")</f>
        <v/>
      </c>
      <c r="V104" s="5" t="str">
        <f>IF('Jelenlét'!V104="Jövök :)",'Jelenlét'!$Z104,"")</f>
        <v/>
      </c>
    </row>
    <row r="105">
      <c r="B105" s="5" t="str">
        <f>IF('Jelenlét'!B105="Jövök :)",'Jelenlét'!$Z105,"")</f>
        <v/>
      </c>
      <c r="C105" s="5" t="str">
        <f>IF('Jelenlét'!C105="Jövök :)",'Jelenlét'!$Z105,"")</f>
        <v/>
      </c>
      <c r="D105" s="5" t="str">
        <f>IF('Jelenlét'!D105="Jövök :)",'Jelenlét'!$Z105,"")</f>
        <v/>
      </c>
      <c r="E105" s="5" t="str">
        <f>IF('Jelenlét'!E105="Jövök :)",'Jelenlét'!$Z105,"")</f>
        <v/>
      </c>
      <c r="F105" s="5" t="str">
        <f>IF('Jelenlét'!F105="Jövök :)",'Jelenlét'!$Z105,"")</f>
        <v/>
      </c>
      <c r="G105" s="5" t="str">
        <f>IF('Jelenlét'!G105="Jövök :)",'Jelenlét'!$Z105,"")</f>
        <v/>
      </c>
      <c r="H105" s="5" t="str">
        <f>IF('Jelenlét'!H105="Jövök :)",'Jelenlét'!$Z105,"")</f>
        <v/>
      </c>
      <c r="I105" s="5" t="str">
        <f>IF('Jelenlét'!I105="Jövök :)",'Jelenlét'!$Z105,"")</f>
        <v/>
      </c>
      <c r="J105" s="5" t="str">
        <f>IF('Jelenlét'!J105="Jövök :)",'Jelenlét'!$Z105,"")</f>
        <v/>
      </c>
      <c r="K105" s="5" t="str">
        <f>IF('Jelenlét'!K105="Jövök :)",'Jelenlét'!$Z105,"")</f>
        <v/>
      </c>
      <c r="L105" s="5" t="str">
        <f>IF('Jelenlét'!L105="Jövök :)",'Jelenlét'!$Z105,"")</f>
        <v/>
      </c>
      <c r="M105" s="5" t="str">
        <f>IF('Jelenlét'!M105="Jövök :)",'Jelenlét'!$Z105,"")</f>
        <v/>
      </c>
      <c r="N105" s="5" t="str">
        <f>IF('Jelenlét'!N105="Jövök :)",'Jelenlét'!$Z105,"")</f>
        <v/>
      </c>
      <c r="O105" s="5" t="str">
        <f>IF('Jelenlét'!O105="Jövök :)",'Jelenlét'!$Z105,"")</f>
        <v/>
      </c>
      <c r="P105" s="5" t="str">
        <f>IF('Jelenlét'!P105="Jövök :)",'Jelenlét'!$Z105,"")</f>
        <v/>
      </c>
      <c r="Q105" s="5" t="str">
        <f>IF('Jelenlét'!Q105="Jövök :)",'Jelenlét'!$Z105,"")</f>
        <v/>
      </c>
      <c r="R105" s="5" t="str">
        <f>IF('Jelenlét'!R105="Jövök :)",'Jelenlét'!$Z105,"")</f>
        <v/>
      </c>
      <c r="S105" s="5" t="str">
        <f>IF('Jelenlét'!S105="Jövök :)",'Jelenlét'!$Z105,"")</f>
        <v/>
      </c>
      <c r="T105" s="5" t="str">
        <f>IF('Jelenlét'!T105="Jövök :)",'Jelenlét'!$Z105,"")</f>
        <v/>
      </c>
      <c r="U105" s="5" t="str">
        <f>IF('Jelenlét'!U105="Jövök :)",'Jelenlét'!$Z105,"")</f>
        <v/>
      </c>
      <c r="V105" s="5" t="str">
        <f>IF('Jelenlét'!V105="Jövök :)",'Jelenlét'!$Z105,"")</f>
        <v/>
      </c>
    </row>
    <row r="106">
      <c r="B106" s="5" t="str">
        <f>IF('Jelenlét'!B106="Jövök :)",'Jelenlét'!$Z106,"")</f>
        <v/>
      </c>
      <c r="C106" s="5" t="str">
        <f>IF('Jelenlét'!C106="Jövök :)",'Jelenlét'!$Z106,"")</f>
        <v/>
      </c>
      <c r="D106" s="5" t="str">
        <f>IF('Jelenlét'!D106="Jövök :)",'Jelenlét'!$Z106,"")</f>
        <v/>
      </c>
      <c r="E106" s="5" t="str">
        <f>IF('Jelenlét'!E106="Jövök :)",'Jelenlét'!$Z106,"")</f>
        <v/>
      </c>
      <c r="F106" s="5" t="str">
        <f>IF('Jelenlét'!F106="Jövök :)",'Jelenlét'!$Z106,"")</f>
        <v/>
      </c>
      <c r="G106" s="5" t="str">
        <f>IF('Jelenlét'!G106="Jövök :)",'Jelenlét'!$Z106,"")</f>
        <v/>
      </c>
      <c r="H106" s="5" t="str">
        <f>IF('Jelenlét'!H106="Jövök :)",'Jelenlét'!$Z106,"")</f>
        <v/>
      </c>
      <c r="I106" s="5" t="str">
        <f>IF('Jelenlét'!I106="Jövök :)",'Jelenlét'!$Z106,"")</f>
        <v/>
      </c>
      <c r="J106" s="5" t="str">
        <f>IF('Jelenlét'!J106="Jövök :)",'Jelenlét'!$Z106,"")</f>
        <v/>
      </c>
      <c r="K106" s="5" t="str">
        <f>IF('Jelenlét'!K106="Jövök :)",'Jelenlét'!$Z106,"")</f>
        <v/>
      </c>
      <c r="L106" s="5" t="str">
        <f>IF('Jelenlét'!L106="Jövök :)",'Jelenlét'!$Z106,"")</f>
        <v/>
      </c>
      <c r="M106" s="5" t="str">
        <f>IF('Jelenlét'!M106="Jövök :)",'Jelenlét'!$Z106,"")</f>
        <v/>
      </c>
      <c r="N106" s="5" t="str">
        <f>IF('Jelenlét'!N106="Jövök :)",'Jelenlét'!$Z106,"")</f>
        <v/>
      </c>
      <c r="O106" s="5" t="str">
        <f>IF('Jelenlét'!O106="Jövök :)",'Jelenlét'!$Z106,"")</f>
        <v/>
      </c>
      <c r="P106" s="5" t="str">
        <f>IF('Jelenlét'!P106="Jövök :)",'Jelenlét'!$Z106,"")</f>
        <v/>
      </c>
      <c r="Q106" s="5" t="str">
        <f>IF('Jelenlét'!Q106="Jövök :)",'Jelenlét'!$Z106,"")</f>
        <v/>
      </c>
      <c r="R106" s="5" t="str">
        <f>IF('Jelenlét'!R106="Jövök :)",'Jelenlét'!$Z106,"")</f>
        <v/>
      </c>
      <c r="S106" s="5" t="str">
        <f>IF('Jelenlét'!S106="Jövök :)",'Jelenlét'!$Z106,"")</f>
        <v/>
      </c>
      <c r="T106" s="5" t="str">
        <f>IF('Jelenlét'!T106="Jövök :)",'Jelenlét'!$Z106,"")</f>
        <v/>
      </c>
      <c r="U106" s="5" t="str">
        <f>IF('Jelenlét'!U106="Jövök :)",'Jelenlét'!$Z106,"")</f>
        <v/>
      </c>
      <c r="V106" s="5" t="str">
        <f>IF('Jelenlét'!V106="Jövök :)",'Jelenlét'!$Z106,"")</f>
        <v/>
      </c>
    </row>
    <row r="107">
      <c r="B107" s="5" t="str">
        <f>IF('Jelenlét'!B107="Jövök :)",'Jelenlét'!$Z107,"")</f>
        <v/>
      </c>
      <c r="C107" s="5" t="str">
        <f>IF('Jelenlét'!C107="Jövök :)",'Jelenlét'!$Z107,"")</f>
        <v/>
      </c>
      <c r="D107" s="5" t="str">
        <f>IF('Jelenlét'!D107="Jövök :)",'Jelenlét'!$Z107,"")</f>
        <v/>
      </c>
      <c r="E107" s="5" t="str">
        <f>IF('Jelenlét'!E107="Jövök :)",'Jelenlét'!$Z107,"")</f>
        <v/>
      </c>
      <c r="F107" s="5" t="str">
        <f>IF('Jelenlét'!F107="Jövök :)",'Jelenlét'!$Z107,"")</f>
        <v/>
      </c>
      <c r="G107" s="5" t="str">
        <f>IF('Jelenlét'!G107="Jövök :)",'Jelenlét'!$Z107,"")</f>
        <v/>
      </c>
      <c r="H107" s="5" t="str">
        <f>IF('Jelenlét'!H107="Jövök :)",'Jelenlét'!$Z107,"")</f>
        <v/>
      </c>
      <c r="I107" s="5" t="str">
        <f>IF('Jelenlét'!I107="Jövök :)",'Jelenlét'!$Z107,"")</f>
        <v/>
      </c>
      <c r="J107" s="5" t="str">
        <f>IF('Jelenlét'!J107="Jövök :)",'Jelenlét'!$Z107,"")</f>
        <v/>
      </c>
      <c r="K107" s="5" t="str">
        <f>IF('Jelenlét'!K107="Jövök :)",'Jelenlét'!$Z107,"")</f>
        <v/>
      </c>
      <c r="L107" s="5" t="str">
        <f>IF('Jelenlét'!L107="Jövök :)",'Jelenlét'!$Z107,"")</f>
        <v/>
      </c>
      <c r="M107" s="5" t="str">
        <f>IF('Jelenlét'!M107="Jövök :)",'Jelenlét'!$Z107,"")</f>
        <v/>
      </c>
      <c r="N107" s="5" t="str">
        <f>IF('Jelenlét'!N107="Jövök :)",'Jelenlét'!$Z107,"")</f>
        <v/>
      </c>
      <c r="O107" s="5" t="str">
        <f>IF('Jelenlét'!O107="Jövök :)",'Jelenlét'!$Z107,"")</f>
        <v/>
      </c>
      <c r="P107" s="5" t="str">
        <f>IF('Jelenlét'!P107="Jövök :)",'Jelenlét'!$Z107,"")</f>
        <v/>
      </c>
      <c r="Q107" s="5" t="str">
        <f>IF('Jelenlét'!Q107="Jövök :)",'Jelenlét'!$Z107,"")</f>
        <v/>
      </c>
      <c r="R107" s="5" t="str">
        <f>IF('Jelenlét'!R107="Jövök :)",'Jelenlét'!$Z107,"")</f>
        <v/>
      </c>
      <c r="S107" s="5" t="str">
        <f>IF('Jelenlét'!S107="Jövök :)",'Jelenlét'!$Z107,"")</f>
        <v/>
      </c>
      <c r="T107" s="5" t="str">
        <f>IF('Jelenlét'!T107="Jövök :)",'Jelenlét'!$Z107,"")</f>
        <v/>
      </c>
      <c r="U107" s="5" t="str">
        <f>IF('Jelenlét'!U107="Jövök :)",'Jelenlét'!$Z107,"")</f>
        <v/>
      </c>
      <c r="V107" s="5" t="str">
        <f>IF('Jelenlét'!V107="Jövök :)",'Jelenlét'!$Z107,"")</f>
        <v/>
      </c>
    </row>
    <row r="108">
      <c r="B108" s="5" t="str">
        <f>IF('Jelenlét'!B108="Jövök :)",'Jelenlét'!$Z108,"")</f>
        <v/>
      </c>
      <c r="C108" s="5" t="str">
        <f>IF('Jelenlét'!C108="Jövök :)",'Jelenlét'!$Z108,"")</f>
        <v/>
      </c>
      <c r="D108" s="5" t="str">
        <f>IF('Jelenlét'!D108="Jövök :)",'Jelenlét'!$Z108,"")</f>
        <v/>
      </c>
      <c r="E108" s="5" t="str">
        <f>IF('Jelenlét'!E108="Jövök :)",'Jelenlét'!$Z108,"")</f>
        <v/>
      </c>
      <c r="F108" s="5" t="str">
        <f>IF('Jelenlét'!F108="Jövök :)",'Jelenlét'!$Z108,"")</f>
        <v/>
      </c>
      <c r="G108" s="5" t="str">
        <f>IF('Jelenlét'!G108="Jövök :)",'Jelenlét'!$Z108,"")</f>
        <v/>
      </c>
      <c r="H108" s="5" t="str">
        <f>IF('Jelenlét'!H108="Jövök :)",'Jelenlét'!$Z108,"")</f>
        <v/>
      </c>
      <c r="I108" s="5" t="str">
        <f>IF('Jelenlét'!I108="Jövök :)",'Jelenlét'!$Z108,"")</f>
        <v/>
      </c>
      <c r="J108" s="5" t="str">
        <f>IF('Jelenlét'!J108="Jövök :)",'Jelenlét'!$Z108,"")</f>
        <v/>
      </c>
      <c r="K108" s="5" t="str">
        <f>IF('Jelenlét'!K108="Jövök :)",'Jelenlét'!$Z108,"")</f>
        <v/>
      </c>
      <c r="L108" s="5" t="str">
        <f>IF('Jelenlét'!L108="Jövök :)",'Jelenlét'!$Z108,"")</f>
        <v/>
      </c>
      <c r="M108" s="5" t="str">
        <f>IF('Jelenlét'!M108="Jövök :)",'Jelenlét'!$Z108,"")</f>
        <v/>
      </c>
      <c r="N108" s="5" t="str">
        <f>IF('Jelenlét'!N108="Jövök :)",'Jelenlét'!$Z108,"")</f>
        <v/>
      </c>
      <c r="O108" s="5" t="str">
        <f>IF('Jelenlét'!O108="Jövök :)",'Jelenlét'!$Z108,"")</f>
        <v/>
      </c>
      <c r="P108" s="5" t="str">
        <f>IF('Jelenlét'!P108="Jövök :)",'Jelenlét'!$Z108,"")</f>
        <v/>
      </c>
      <c r="Q108" s="5" t="str">
        <f>IF('Jelenlét'!Q108="Jövök :)",'Jelenlét'!$Z108,"")</f>
        <v/>
      </c>
      <c r="R108" s="5" t="str">
        <f>IF('Jelenlét'!R108="Jövök :)",'Jelenlét'!$Z108,"")</f>
        <v/>
      </c>
      <c r="S108" s="5" t="str">
        <f>IF('Jelenlét'!S108="Jövök :)",'Jelenlét'!$Z108,"")</f>
        <v/>
      </c>
      <c r="T108" s="5" t="str">
        <f>IF('Jelenlét'!T108="Jövök :)",'Jelenlét'!$Z108,"")</f>
        <v/>
      </c>
      <c r="U108" s="5" t="str">
        <f>IF('Jelenlét'!U108="Jövök :)",'Jelenlét'!$Z108,"")</f>
        <v/>
      </c>
      <c r="V108" s="5" t="str">
        <f>IF('Jelenlét'!V108="Jövök :)",'Jelenlét'!$Z108,"")</f>
        <v/>
      </c>
    </row>
    <row r="109">
      <c r="B109" s="5" t="str">
        <f>IF('Jelenlét'!B109="Jövök :)",'Jelenlét'!$Z109,"")</f>
        <v/>
      </c>
      <c r="C109" s="5" t="str">
        <f>IF('Jelenlét'!C109="Jövök :)",'Jelenlét'!$Z109,"")</f>
        <v/>
      </c>
      <c r="D109" s="5" t="str">
        <f>IF('Jelenlét'!D109="Jövök :)",'Jelenlét'!$Z109,"")</f>
        <v/>
      </c>
      <c r="E109" s="5" t="str">
        <f>IF('Jelenlét'!E109="Jövök :)",'Jelenlét'!$Z109,"")</f>
        <v/>
      </c>
      <c r="F109" s="5" t="str">
        <f>IF('Jelenlét'!F109="Jövök :)",'Jelenlét'!$Z109,"")</f>
        <v/>
      </c>
      <c r="G109" s="5" t="str">
        <f>IF('Jelenlét'!G109="Jövök :)",'Jelenlét'!$Z109,"")</f>
        <v/>
      </c>
      <c r="H109" s="5" t="str">
        <f>IF('Jelenlét'!H109="Jövök :)",'Jelenlét'!$Z109,"")</f>
        <v/>
      </c>
      <c r="I109" s="5" t="str">
        <f>IF('Jelenlét'!I109="Jövök :)",'Jelenlét'!$Z109,"")</f>
        <v/>
      </c>
      <c r="J109" s="5" t="str">
        <f>IF('Jelenlét'!J109="Jövök :)",'Jelenlét'!$Z109,"")</f>
        <v/>
      </c>
      <c r="K109" s="5" t="str">
        <f>IF('Jelenlét'!K109="Jövök :)",'Jelenlét'!$Z109,"")</f>
        <v/>
      </c>
      <c r="L109" s="5" t="str">
        <f>IF('Jelenlét'!L109="Jövök :)",'Jelenlét'!$Z109,"")</f>
        <v/>
      </c>
      <c r="M109" s="5" t="str">
        <f>IF('Jelenlét'!M109="Jövök :)",'Jelenlét'!$Z109,"")</f>
        <v/>
      </c>
      <c r="N109" s="5" t="str">
        <f>IF('Jelenlét'!N109="Jövök :)",'Jelenlét'!$Z109,"")</f>
        <v/>
      </c>
      <c r="O109" s="5" t="str">
        <f>IF('Jelenlét'!O109="Jövök :)",'Jelenlét'!$Z109,"")</f>
        <v/>
      </c>
      <c r="P109" s="5" t="str">
        <f>IF('Jelenlét'!P109="Jövök :)",'Jelenlét'!$Z109,"")</f>
        <v/>
      </c>
      <c r="Q109" s="5" t="str">
        <f>IF('Jelenlét'!Q109="Jövök :)",'Jelenlét'!$Z109,"")</f>
        <v/>
      </c>
      <c r="R109" s="5" t="str">
        <f>IF('Jelenlét'!R109="Jövök :)",'Jelenlét'!$Z109,"")</f>
        <v/>
      </c>
      <c r="S109" s="5" t="str">
        <f>IF('Jelenlét'!S109="Jövök :)",'Jelenlét'!$Z109,"")</f>
        <v/>
      </c>
      <c r="T109" s="5" t="str">
        <f>IF('Jelenlét'!T109="Jövök :)",'Jelenlét'!$Z109,"")</f>
        <v/>
      </c>
      <c r="U109" s="5" t="str">
        <f>IF('Jelenlét'!U109="Jövök :)",'Jelenlét'!$Z109,"")</f>
        <v/>
      </c>
      <c r="V109" s="5" t="str">
        <f>IF('Jelenlét'!V109="Jövök :)",'Jelenlét'!$Z109,"")</f>
        <v/>
      </c>
    </row>
    <row r="110">
      <c r="B110" s="5" t="str">
        <f>IF('Jelenlét'!B110="Jövök :)",'Jelenlét'!$Z110,"")</f>
        <v/>
      </c>
      <c r="C110" s="5" t="str">
        <f>IF('Jelenlét'!C110="Jövök :)",'Jelenlét'!$Z110,"")</f>
        <v/>
      </c>
      <c r="D110" s="5" t="str">
        <f>IF('Jelenlét'!D110="Jövök :)",'Jelenlét'!$Z110,"")</f>
        <v/>
      </c>
      <c r="E110" s="5" t="str">
        <f>IF('Jelenlét'!E110="Jövök :)",'Jelenlét'!$Z110,"")</f>
        <v/>
      </c>
      <c r="F110" s="5" t="str">
        <f>IF('Jelenlét'!F110="Jövök :)",'Jelenlét'!$Z110,"")</f>
        <v/>
      </c>
      <c r="G110" s="5" t="str">
        <f>IF('Jelenlét'!G110="Jövök :)",'Jelenlét'!$Z110,"")</f>
        <v/>
      </c>
      <c r="H110" s="5" t="str">
        <f>IF('Jelenlét'!H110="Jövök :)",'Jelenlét'!$Z110,"")</f>
        <v/>
      </c>
      <c r="I110" s="5" t="str">
        <f>IF('Jelenlét'!I110="Jövök :)",'Jelenlét'!$Z110,"")</f>
        <v/>
      </c>
      <c r="J110" s="5" t="str">
        <f>IF('Jelenlét'!J110="Jövök :)",'Jelenlét'!$Z110,"")</f>
        <v/>
      </c>
      <c r="K110" s="5" t="str">
        <f>IF('Jelenlét'!K110="Jövök :)",'Jelenlét'!$Z110,"")</f>
        <v/>
      </c>
      <c r="L110" s="5" t="str">
        <f>IF('Jelenlét'!L110="Jövök :)",'Jelenlét'!$Z110,"")</f>
        <v/>
      </c>
      <c r="M110" s="5" t="str">
        <f>IF('Jelenlét'!M110="Jövök :)",'Jelenlét'!$Z110,"")</f>
        <v/>
      </c>
      <c r="N110" s="5" t="str">
        <f>IF('Jelenlét'!N110="Jövök :)",'Jelenlét'!$Z110,"")</f>
        <v/>
      </c>
      <c r="O110" s="5" t="str">
        <f>IF('Jelenlét'!O110="Jövök :)",'Jelenlét'!$Z110,"")</f>
        <v/>
      </c>
      <c r="P110" s="5" t="str">
        <f>IF('Jelenlét'!P110="Jövök :)",'Jelenlét'!$Z110,"")</f>
        <v/>
      </c>
      <c r="Q110" s="5" t="str">
        <f>IF('Jelenlét'!Q110="Jövök :)",'Jelenlét'!$Z110,"")</f>
        <v/>
      </c>
      <c r="R110" s="5" t="str">
        <f>IF('Jelenlét'!R110="Jövök :)",'Jelenlét'!$Z110,"")</f>
        <v/>
      </c>
      <c r="S110" s="5" t="str">
        <f>IF('Jelenlét'!S110="Jövök :)",'Jelenlét'!$Z110,"")</f>
        <v/>
      </c>
      <c r="T110" s="5" t="str">
        <f>IF('Jelenlét'!T110="Jövök :)",'Jelenlét'!$Z110,"")</f>
        <v/>
      </c>
      <c r="U110" s="5" t="str">
        <f>IF('Jelenlét'!U110="Jövök :)",'Jelenlét'!$Z110,"")</f>
        <v/>
      </c>
      <c r="V110" s="5" t="str">
        <f>IF('Jelenlét'!V110="Jövök :)",'Jelenlét'!$Z110,"")</f>
        <v/>
      </c>
    </row>
    <row r="111">
      <c r="B111" s="5" t="str">
        <f>IF('Jelenlét'!B111="Jövök :)",'Jelenlét'!$Z111,"")</f>
        <v/>
      </c>
      <c r="C111" s="5" t="str">
        <f>IF('Jelenlét'!C111="Jövök :)",'Jelenlét'!$Z111,"")</f>
        <v/>
      </c>
      <c r="D111" s="5" t="str">
        <f>IF('Jelenlét'!D111="Jövök :)",'Jelenlét'!$Z111,"")</f>
        <v/>
      </c>
      <c r="E111" s="5" t="str">
        <f>IF('Jelenlét'!E111="Jövök :)",'Jelenlét'!$Z111,"")</f>
        <v/>
      </c>
      <c r="F111" s="5" t="str">
        <f>IF('Jelenlét'!F111="Jövök :)",'Jelenlét'!$Z111,"")</f>
        <v/>
      </c>
      <c r="G111" s="5" t="str">
        <f>IF('Jelenlét'!G111="Jövök :)",'Jelenlét'!$Z111,"")</f>
        <v/>
      </c>
      <c r="H111" s="5" t="str">
        <f>IF('Jelenlét'!H111="Jövök :)",'Jelenlét'!$Z111,"")</f>
        <v/>
      </c>
      <c r="I111" s="5" t="str">
        <f>IF('Jelenlét'!I111="Jövök :)",'Jelenlét'!$Z111,"")</f>
        <v/>
      </c>
      <c r="J111" s="5" t="str">
        <f>IF('Jelenlét'!J111="Jövök :)",'Jelenlét'!$Z111,"")</f>
        <v/>
      </c>
      <c r="K111" s="5" t="str">
        <f>IF('Jelenlét'!K111="Jövök :)",'Jelenlét'!$Z111,"")</f>
        <v/>
      </c>
      <c r="L111" s="5" t="str">
        <f>IF('Jelenlét'!L111="Jövök :)",'Jelenlét'!$Z111,"")</f>
        <v/>
      </c>
      <c r="M111" s="5" t="str">
        <f>IF('Jelenlét'!M111="Jövök :)",'Jelenlét'!$Z111,"")</f>
        <v/>
      </c>
      <c r="N111" s="5" t="str">
        <f>IF('Jelenlét'!N111="Jövök :)",'Jelenlét'!$Z111,"")</f>
        <v/>
      </c>
      <c r="O111" s="5" t="str">
        <f>IF('Jelenlét'!O111="Jövök :)",'Jelenlét'!$Z111,"")</f>
        <v/>
      </c>
      <c r="P111" s="5" t="str">
        <f>IF('Jelenlét'!P111="Jövök :)",'Jelenlét'!$Z111,"")</f>
        <v/>
      </c>
      <c r="Q111" s="5" t="str">
        <f>IF('Jelenlét'!Q111="Jövök :)",'Jelenlét'!$Z111,"")</f>
        <v/>
      </c>
      <c r="R111" s="5" t="str">
        <f>IF('Jelenlét'!R111="Jövök :)",'Jelenlét'!$Z111,"")</f>
        <v/>
      </c>
      <c r="S111" s="5" t="str">
        <f>IF('Jelenlét'!S111="Jövök :)",'Jelenlét'!$Z111,"")</f>
        <v/>
      </c>
      <c r="T111" s="5" t="str">
        <f>IF('Jelenlét'!T111="Jövök :)",'Jelenlét'!$Z111,"")</f>
        <v/>
      </c>
      <c r="U111" s="5" t="str">
        <f>IF('Jelenlét'!U111="Jövök :)",'Jelenlét'!$Z111,"")</f>
        <v/>
      </c>
      <c r="V111" s="5" t="str">
        <f>IF('Jelenlét'!V111="Jövök :)",'Jelenlét'!$Z111,"")</f>
        <v/>
      </c>
    </row>
    <row r="112">
      <c r="B112" s="5" t="str">
        <f>IF('Jelenlét'!B112="Jövök :)",'Jelenlét'!$Z112,"")</f>
        <v/>
      </c>
      <c r="C112" s="5" t="str">
        <f>IF('Jelenlét'!C112="Jövök :)",'Jelenlét'!$Z112,"")</f>
        <v/>
      </c>
      <c r="D112" s="5" t="str">
        <f>IF('Jelenlét'!D112="Jövök :)",'Jelenlét'!$Z112,"")</f>
        <v/>
      </c>
      <c r="E112" s="5" t="str">
        <f>IF('Jelenlét'!E112="Jövök :)",'Jelenlét'!$Z112,"")</f>
        <v/>
      </c>
      <c r="F112" s="5" t="str">
        <f>IF('Jelenlét'!F112="Jövök :)",'Jelenlét'!$Z112,"")</f>
        <v/>
      </c>
      <c r="G112" s="5" t="str">
        <f>IF('Jelenlét'!G112="Jövök :)",'Jelenlét'!$Z112,"")</f>
        <v/>
      </c>
      <c r="H112" s="5" t="str">
        <f>IF('Jelenlét'!H112="Jövök :)",'Jelenlét'!$Z112,"")</f>
        <v/>
      </c>
      <c r="I112" s="5" t="str">
        <f>IF('Jelenlét'!I112="Jövök :)",'Jelenlét'!$Z112,"")</f>
        <v/>
      </c>
      <c r="J112" s="5" t="str">
        <f>IF('Jelenlét'!J112="Jövök :)",'Jelenlét'!$Z112,"")</f>
        <v/>
      </c>
      <c r="K112" s="5" t="str">
        <f>IF('Jelenlét'!K112="Jövök :)",'Jelenlét'!$Z112,"")</f>
        <v/>
      </c>
      <c r="L112" s="5" t="str">
        <f>IF('Jelenlét'!L112="Jövök :)",'Jelenlét'!$Z112,"")</f>
        <v/>
      </c>
      <c r="M112" s="5" t="str">
        <f>IF('Jelenlét'!M112="Jövök :)",'Jelenlét'!$Z112,"")</f>
        <v/>
      </c>
      <c r="N112" s="5" t="str">
        <f>IF('Jelenlét'!N112="Jövök :)",'Jelenlét'!$Z112,"")</f>
        <v/>
      </c>
      <c r="O112" s="5" t="str">
        <f>IF('Jelenlét'!O112="Jövök :)",'Jelenlét'!$Z112,"")</f>
        <v/>
      </c>
      <c r="P112" s="5" t="str">
        <f>IF('Jelenlét'!P112="Jövök :)",'Jelenlét'!$Z112,"")</f>
        <v/>
      </c>
      <c r="Q112" s="5" t="str">
        <f>IF('Jelenlét'!Q112="Jövök :)",'Jelenlét'!$Z112,"")</f>
        <v/>
      </c>
      <c r="R112" s="5" t="str">
        <f>IF('Jelenlét'!R112="Jövök :)",'Jelenlét'!$Z112,"")</f>
        <v/>
      </c>
      <c r="S112" s="5" t="str">
        <f>IF('Jelenlét'!S112="Jövök :)",'Jelenlét'!$Z112,"")</f>
        <v/>
      </c>
      <c r="T112" s="5" t="str">
        <f>IF('Jelenlét'!T112="Jövök :)",'Jelenlét'!$Z112,"")</f>
        <v/>
      </c>
      <c r="U112" s="5" t="str">
        <f>IF('Jelenlét'!U112="Jövök :)",'Jelenlét'!$Z112,"")</f>
        <v/>
      </c>
      <c r="V112" s="5" t="str">
        <f>IF('Jelenlét'!V112="Jövök :)",'Jelenlét'!$Z112,"")</f>
        <v/>
      </c>
    </row>
    <row r="113">
      <c r="B113" s="5" t="str">
        <f>IF('Jelenlét'!B113="Jövök :)",'Jelenlét'!$Z113,"")</f>
        <v/>
      </c>
      <c r="C113" s="5" t="str">
        <f>IF('Jelenlét'!C113="Jövök :)",'Jelenlét'!$Z113,"")</f>
        <v/>
      </c>
      <c r="D113" s="5" t="str">
        <f>IF('Jelenlét'!D113="Jövök :)",'Jelenlét'!$Z113,"")</f>
        <v/>
      </c>
      <c r="E113" s="5" t="str">
        <f>IF('Jelenlét'!E113="Jövök :)",'Jelenlét'!$Z113,"")</f>
        <v/>
      </c>
      <c r="F113" s="5" t="str">
        <f>IF('Jelenlét'!F113="Jövök :)",'Jelenlét'!$Z113,"")</f>
        <v/>
      </c>
      <c r="G113" s="5" t="str">
        <f>IF('Jelenlét'!G113="Jövök :)",'Jelenlét'!$Z113,"")</f>
        <v/>
      </c>
      <c r="H113" s="5" t="str">
        <f>IF('Jelenlét'!H113="Jövök :)",'Jelenlét'!$Z113,"")</f>
        <v/>
      </c>
      <c r="I113" s="5" t="str">
        <f>IF('Jelenlét'!I113="Jövök :)",'Jelenlét'!$Z113,"")</f>
        <v/>
      </c>
      <c r="J113" s="5" t="str">
        <f>IF('Jelenlét'!J113="Jövök :)",'Jelenlét'!$Z113,"")</f>
        <v/>
      </c>
      <c r="K113" s="5" t="str">
        <f>IF('Jelenlét'!K113="Jövök :)",'Jelenlét'!$Z113,"")</f>
        <v/>
      </c>
      <c r="L113" s="5" t="str">
        <f>IF('Jelenlét'!L113="Jövök :)",'Jelenlét'!$Z113,"")</f>
        <v/>
      </c>
      <c r="M113" s="5" t="str">
        <f>IF('Jelenlét'!M113="Jövök :)",'Jelenlét'!$Z113,"")</f>
        <v/>
      </c>
      <c r="N113" s="5" t="str">
        <f>IF('Jelenlét'!N113="Jövök :)",'Jelenlét'!$Z113,"")</f>
        <v/>
      </c>
      <c r="O113" s="5" t="str">
        <f>IF('Jelenlét'!O113="Jövök :)",'Jelenlét'!$Z113,"")</f>
        <v/>
      </c>
      <c r="P113" s="5" t="str">
        <f>IF('Jelenlét'!P113="Jövök :)",'Jelenlét'!$Z113,"")</f>
        <v/>
      </c>
      <c r="Q113" s="5" t="str">
        <f>IF('Jelenlét'!Q113="Jövök :)",'Jelenlét'!$Z113,"")</f>
        <v/>
      </c>
      <c r="R113" s="5" t="str">
        <f>IF('Jelenlét'!R113="Jövök :)",'Jelenlét'!$Z113,"")</f>
        <v/>
      </c>
      <c r="S113" s="5" t="str">
        <f>IF('Jelenlét'!S113="Jövök :)",'Jelenlét'!$Z113,"")</f>
        <v/>
      </c>
      <c r="T113" s="5" t="str">
        <f>IF('Jelenlét'!T113="Jövök :)",'Jelenlét'!$Z113,"")</f>
        <v/>
      </c>
      <c r="U113" s="5" t="str">
        <f>IF('Jelenlét'!U113="Jövök :)",'Jelenlét'!$Z113,"")</f>
        <v/>
      </c>
      <c r="V113" s="5" t="str">
        <f>IF('Jelenlét'!V113="Jövök :)",'Jelenlét'!$Z113,"")</f>
        <v/>
      </c>
    </row>
    <row r="114">
      <c r="B114" s="5" t="str">
        <f>IF('Jelenlét'!B114="Jövök :)",'Jelenlét'!$Z114,"")</f>
        <v/>
      </c>
      <c r="C114" s="5" t="str">
        <f>IF('Jelenlét'!C114="Jövök :)",'Jelenlét'!$Z114,"")</f>
        <v/>
      </c>
      <c r="D114" s="5" t="str">
        <f>IF('Jelenlét'!D114="Jövök :)",'Jelenlét'!$Z114,"")</f>
        <v/>
      </c>
      <c r="E114" s="5" t="str">
        <f>IF('Jelenlét'!E114="Jövök :)",'Jelenlét'!$Z114,"")</f>
        <v/>
      </c>
      <c r="F114" s="5" t="str">
        <f>IF('Jelenlét'!F114="Jövök :)",'Jelenlét'!$Z114,"")</f>
        <v/>
      </c>
      <c r="G114" s="5" t="str">
        <f>IF('Jelenlét'!G114="Jövök :)",'Jelenlét'!$Z114,"")</f>
        <v/>
      </c>
      <c r="H114" s="5" t="str">
        <f>IF('Jelenlét'!H114="Jövök :)",'Jelenlét'!$Z114,"")</f>
        <v/>
      </c>
      <c r="I114" s="5" t="str">
        <f>IF('Jelenlét'!I114="Jövök :)",'Jelenlét'!$Z114,"")</f>
        <v/>
      </c>
      <c r="J114" s="5" t="str">
        <f>IF('Jelenlét'!J114="Jövök :)",'Jelenlét'!$Z114,"")</f>
        <v/>
      </c>
      <c r="K114" s="5" t="str">
        <f>IF('Jelenlét'!K114="Jövök :)",'Jelenlét'!$Z114,"")</f>
        <v/>
      </c>
      <c r="L114" s="5" t="str">
        <f>IF('Jelenlét'!L114="Jövök :)",'Jelenlét'!$Z114,"")</f>
        <v/>
      </c>
      <c r="M114" s="5" t="str">
        <f>IF('Jelenlét'!M114="Jövök :)",'Jelenlét'!$Z114,"")</f>
        <v/>
      </c>
      <c r="N114" s="5" t="str">
        <f>IF('Jelenlét'!N114="Jövök :)",'Jelenlét'!$Z114,"")</f>
        <v/>
      </c>
      <c r="O114" s="5" t="str">
        <f>IF('Jelenlét'!O114="Jövök :)",'Jelenlét'!$Z114,"")</f>
        <v/>
      </c>
      <c r="P114" s="5" t="str">
        <f>IF('Jelenlét'!P114="Jövök :)",'Jelenlét'!$Z114,"")</f>
        <v/>
      </c>
      <c r="Q114" s="5" t="str">
        <f>IF('Jelenlét'!Q114="Jövök :)",'Jelenlét'!$Z114,"")</f>
        <v/>
      </c>
      <c r="R114" s="5" t="str">
        <f>IF('Jelenlét'!R114="Jövök :)",'Jelenlét'!$Z114,"")</f>
        <v/>
      </c>
      <c r="S114" s="5" t="str">
        <f>IF('Jelenlét'!S114="Jövök :)",'Jelenlét'!$Z114,"")</f>
        <v/>
      </c>
      <c r="T114" s="5" t="str">
        <f>IF('Jelenlét'!T114="Jövök :)",'Jelenlét'!$Z114,"")</f>
        <v/>
      </c>
      <c r="U114" s="5" t="str">
        <f>IF('Jelenlét'!U114="Jövök :)",'Jelenlét'!$Z114,"")</f>
        <v/>
      </c>
      <c r="V114" s="5" t="str">
        <f>IF('Jelenlét'!V114="Jövök :)",'Jelenlét'!$Z114,"")</f>
        <v/>
      </c>
    </row>
    <row r="115">
      <c r="B115" s="5" t="str">
        <f>IF('Jelenlét'!B115="Jövök :)",'Jelenlét'!$Z115,"")</f>
        <v/>
      </c>
      <c r="C115" s="5" t="str">
        <f>IF('Jelenlét'!C115="Jövök :)",'Jelenlét'!$Z115,"")</f>
        <v/>
      </c>
      <c r="D115" s="5" t="str">
        <f>IF('Jelenlét'!D115="Jövök :)",'Jelenlét'!$Z115,"")</f>
        <v/>
      </c>
      <c r="E115" s="5" t="str">
        <f>IF('Jelenlét'!E115="Jövök :)",'Jelenlét'!$Z115,"")</f>
        <v/>
      </c>
      <c r="F115" s="5" t="str">
        <f>IF('Jelenlét'!F115="Jövök :)",'Jelenlét'!$Z115,"")</f>
        <v/>
      </c>
      <c r="G115" s="5" t="str">
        <f>IF('Jelenlét'!G115="Jövök :)",'Jelenlét'!$Z115,"")</f>
        <v/>
      </c>
      <c r="H115" s="5" t="str">
        <f>IF('Jelenlét'!H115="Jövök :)",'Jelenlét'!$Z115,"")</f>
        <v/>
      </c>
      <c r="I115" s="5" t="str">
        <f>IF('Jelenlét'!I115="Jövök :)",'Jelenlét'!$Z115,"")</f>
        <v/>
      </c>
      <c r="J115" s="5" t="str">
        <f>IF('Jelenlét'!J115="Jövök :)",'Jelenlét'!$Z115,"")</f>
        <v/>
      </c>
      <c r="K115" s="5" t="str">
        <f>IF('Jelenlét'!K115="Jövök :)",'Jelenlét'!$Z115,"")</f>
        <v/>
      </c>
      <c r="L115" s="5" t="str">
        <f>IF('Jelenlét'!L115="Jövök :)",'Jelenlét'!$Z115,"")</f>
        <v/>
      </c>
      <c r="M115" s="5" t="str">
        <f>IF('Jelenlét'!M115="Jövök :)",'Jelenlét'!$Z115,"")</f>
        <v/>
      </c>
      <c r="N115" s="5" t="str">
        <f>IF('Jelenlét'!N115="Jövök :)",'Jelenlét'!$Z115,"")</f>
        <v/>
      </c>
      <c r="O115" s="5" t="str">
        <f>IF('Jelenlét'!O115="Jövök :)",'Jelenlét'!$Z115,"")</f>
        <v/>
      </c>
      <c r="P115" s="5" t="str">
        <f>IF('Jelenlét'!P115="Jövök :)",'Jelenlét'!$Z115,"")</f>
        <v/>
      </c>
      <c r="Q115" s="5" t="str">
        <f>IF('Jelenlét'!Q115="Jövök :)",'Jelenlét'!$Z115,"")</f>
        <v/>
      </c>
      <c r="R115" s="5" t="str">
        <f>IF('Jelenlét'!R115="Jövök :)",'Jelenlét'!$Z115,"")</f>
        <v/>
      </c>
      <c r="S115" s="5" t="str">
        <f>IF('Jelenlét'!S115="Jövök :)",'Jelenlét'!$Z115,"")</f>
        <v/>
      </c>
      <c r="T115" s="5" t="str">
        <f>IF('Jelenlét'!T115="Jövök :)",'Jelenlét'!$Z115,"")</f>
        <v/>
      </c>
      <c r="U115" s="5" t="str">
        <f>IF('Jelenlét'!U115="Jövök :)",'Jelenlét'!$Z115,"")</f>
        <v/>
      </c>
      <c r="V115" s="5" t="str">
        <f>IF('Jelenlét'!V115="Jövök :)",'Jelenlét'!$Z115,"")</f>
        <v/>
      </c>
    </row>
    <row r="116">
      <c r="B116" s="5" t="str">
        <f>IF('Jelenlét'!B116="Jövök :)",'Jelenlét'!$Z116,"")</f>
        <v/>
      </c>
      <c r="C116" s="5" t="str">
        <f>IF('Jelenlét'!C116="Jövök :)",'Jelenlét'!$Z116,"")</f>
        <v/>
      </c>
      <c r="D116" s="5" t="str">
        <f>IF('Jelenlét'!D116="Jövök :)",'Jelenlét'!$Z116,"")</f>
        <v/>
      </c>
      <c r="E116" s="5" t="str">
        <f>IF('Jelenlét'!E116="Jövök :)",'Jelenlét'!$Z116,"")</f>
        <v/>
      </c>
      <c r="F116" s="5" t="str">
        <f>IF('Jelenlét'!F116="Jövök :)",'Jelenlét'!$Z116,"")</f>
        <v/>
      </c>
      <c r="G116" s="5" t="str">
        <f>IF('Jelenlét'!G116="Jövök :)",'Jelenlét'!$Z116,"")</f>
        <v/>
      </c>
      <c r="H116" s="5" t="str">
        <f>IF('Jelenlét'!H116="Jövök :)",'Jelenlét'!$Z116,"")</f>
        <v/>
      </c>
      <c r="I116" s="5" t="str">
        <f>IF('Jelenlét'!I116="Jövök :)",'Jelenlét'!$Z116,"")</f>
        <v/>
      </c>
      <c r="J116" s="5" t="str">
        <f>IF('Jelenlét'!J116="Jövök :)",'Jelenlét'!$Z116,"")</f>
        <v/>
      </c>
      <c r="K116" s="5" t="str">
        <f>IF('Jelenlét'!K116="Jövök :)",'Jelenlét'!$Z116,"")</f>
        <v/>
      </c>
      <c r="L116" s="5" t="str">
        <f>IF('Jelenlét'!L116="Jövök :)",'Jelenlét'!$Z116,"")</f>
        <v/>
      </c>
      <c r="M116" s="5" t="str">
        <f>IF('Jelenlét'!M116="Jövök :)",'Jelenlét'!$Z116,"")</f>
        <v/>
      </c>
      <c r="N116" s="5" t="str">
        <f>IF('Jelenlét'!N116="Jövök :)",'Jelenlét'!$Z116,"")</f>
        <v/>
      </c>
      <c r="O116" s="5" t="str">
        <f>IF('Jelenlét'!O116="Jövök :)",'Jelenlét'!$Z116,"")</f>
        <v/>
      </c>
      <c r="P116" s="5" t="str">
        <f>IF('Jelenlét'!P116="Jövök :)",'Jelenlét'!$Z116,"")</f>
        <v/>
      </c>
      <c r="Q116" s="5" t="str">
        <f>IF('Jelenlét'!Q116="Jövök :)",'Jelenlét'!$Z116,"")</f>
        <v/>
      </c>
      <c r="R116" s="5" t="str">
        <f>IF('Jelenlét'!R116="Jövök :)",'Jelenlét'!$Z116,"")</f>
        <v/>
      </c>
      <c r="S116" s="5" t="str">
        <f>IF('Jelenlét'!S116="Jövök :)",'Jelenlét'!$Z116,"")</f>
        <v/>
      </c>
      <c r="T116" s="5" t="str">
        <f>IF('Jelenlét'!T116="Jövök :)",'Jelenlét'!$Z116,"")</f>
        <v/>
      </c>
      <c r="U116" s="5" t="str">
        <f>IF('Jelenlét'!U116="Jövök :)",'Jelenlét'!$Z116,"")</f>
        <v/>
      </c>
      <c r="V116" s="5" t="str">
        <f>IF('Jelenlét'!V116="Jövök :)",'Jelenlét'!$Z116,"")</f>
        <v/>
      </c>
    </row>
    <row r="117">
      <c r="B117" s="5" t="str">
        <f>IF('Jelenlét'!B117="Jövök :)",'Jelenlét'!$Z117,"")</f>
        <v/>
      </c>
      <c r="C117" s="5" t="str">
        <f>IF('Jelenlét'!C117="Jövök :)",'Jelenlét'!$Z117,"")</f>
        <v/>
      </c>
      <c r="D117" s="5" t="str">
        <f>IF('Jelenlét'!D117="Jövök :)",'Jelenlét'!$Z117,"")</f>
        <v/>
      </c>
      <c r="E117" s="5" t="str">
        <f>IF('Jelenlét'!E117="Jövök :)",'Jelenlét'!$Z117,"")</f>
        <v/>
      </c>
      <c r="F117" s="5" t="str">
        <f>IF('Jelenlét'!F117="Jövök :)",'Jelenlét'!$Z117,"")</f>
        <v/>
      </c>
      <c r="G117" s="5" t="str">
        <f>IF('Jelenlét'!G117="Jövök :)",'Jelenlét'!$Z117,"")</f>
        <v/>
      </c>
      <c r="H117" s="5" t="str">
        <f>IF('Jelenlét'!H117="Jövök :)",'Jelenlét'!$Z117,"")</f>
        <v/>
      </c>
      <c r="I117" s="5" t="str">
        <f>IF('Jelenlét'!I117="Jövök :)",'Jelenlét'!$Z117,"")</f>
        <v/>
      </c>
      <c r="J117" s="5" t="str">
        <f>IF('Jelenlét'!J117="Jövök :)",'Jelenlét'!$Z117,"")</f>
        <v/>
      </c>
      <c r="K117" s="5" t="str">
        <f>IF('Jelenlét'!K117="Jövök :)",'Jelenlét'!$Z117,"")</f>
        <v/>
      </c>
      <c r="L117" s="5" t="str">
        <f>IF('Jelenlét'!L117="Jövök :)",'Jelenlét'!$Z117,"")</f>
        <v/>
      </c>
      <c r="M117" s="5" t="str">
        <f>IF('Jelenlét'!M117="Jövök :)",'Jelenlét'!$Z117,"")</f>
        <v/>
      </c>
      <c r="N117" s="5" t="str">
        <f>IF('Jelenlét'!N117="Jövök :)",'Jelenlét'!$Z117,"")</f>
        <v/>
      </c>
      <c r="O117" s="5" t="str">
        <f>IF('Jelenlét'!O117="Jövök :)",'Jelenlét'!$Z117,"")</f>
        <v/>
      </c>
      <c r="P117" s="5" t="str">
        <f>IF('Jelenlét'!P117="Jövök :)",'Jelenlét'!$Z117,"")</f>
        <v/>
      </c>
      <c r="Q117" s="5" t="str">
        <f>IF('Jelenlét'!Q117="Jövök :)",'Jelenlét'!$Z117,"")</f>
        <v/>
      </c>
      <c r="R117" s="5" t="str">
        <f>IF('Jelenlét'!R117="Jövök :)",'Jelenlét'!$Z117,"")</f>
        <v/>
      </c>
      <c r="S117" s="5" t="str">
        <f>IF('Jelenlét'!S117="Jövök :)",'Jelenlét'!$Z117,"")</f>
        <v/>
      </c>
      <c r="T117" s="5" t="str">
        <f>IF('Jelenlét'!T117="Jövök :)",'Jelenlét'!$Z117,"")</f>
        <v/>
      </c>
      <c r="U117" s="5" t="str">
        <f>IF('Jelenlét'!U117="Jövök :)",'Jelenlét'!$Z117,"")</f>
        <v/>
      </c>
      <c r="V117" s="5" t="str">
        <f>IF('Jelenlét'!V117="Jövök :)",'Jelenlét'!$Z117,"")</f>
        <v/>
      </c>
    </row>
    <row r="118">
      <c r="B118" s="5" t="str">
        <f>IF('Jelenlét'!B118="Jövök :)",'Jelenlét'!$Z118,"")</f>
        <v/>
      </c>
      <c r="C118" s="5" t="str">
        <f>IF('Jelenlét'!C118="Jövök :)",'Jelenlét'!$Z118,"")</f>
        <v/>
      </c>
      <c r="D118" s="5" t="str">
        <f>IF('Jelenlét'!D118="Jövök :)",'Jelenlét'!$Z118,"")</f>
        <v/>
      </c>
      <c r="E118" s="5" t="str">
        <f>IF('Jelenlét'!E118="Jövök :)",'Jelenlét'!$Z118,"")</f>
        <v/>
      </c>
      <c r="F118" s="5" t="str">
        <f>IF('Jelenlét'!F118="Jövök :)",'Jelenlét'!$Z118,"")</f>
        <v/>
      </c>
      <c r="G118" s="5" t="str">
        <f>IF('Jelenlét'!G118="Jövök :)",'Jelenlét'!$Z118,"")</f>
        <v/>
      </c>
      <c r="H118" s="5" t="str">
        <f>IF('Jelenlét'!H118="Jövök :)",'Jelenlét'!$Z118,"")</f>
        <v/>
      </c>
      <c r="I118" s="5" t="str">
        <f>IF('Jelenlét'!I118="Jövök :)",'Jelenlét'!$Z118,"")</f>
        <v/>
      </c>
      <c r="J118" s="5" t="str">
        <f>IF('Jelenlét'!J118="Jövök :)",'Jelenlét'!$Z118,"")</f>
        <v/>
      </c>
      <c r="K118" s="5" t="str">
        <f>IF('Jelenlét'!K118="Jövök :)",'Jelenlét'!$Z118,"")</f>
        <v/>
      </c>
      <c r="L118" s="5" t="str">
        <f>IF('Jelenlét'!L118="Jövök :)",'Jelenlét'!$Z118,"")</f>
        <v/>
      </c>
      <c r="M118" s="5" t="str">
        <f>IF('Jelenlét'!M118="Jövök :)",'Jelenlét'!$Z118,"")</f>
        <v/>
      </c>
      <c r="N118" s="5" t="str">
        <f>IF('Jelenlét'!N118="Jövök :)",'Jelenlét'!$Z118,"")</f>
        <v/>
      </c>
      <c r="O118" s="5" t="str">
        <f>IF('Jelenlét'!O118="Jövök :)",'Jelenlét'!$Z118,"")</f>
        <v/>
      </c>
      <c r="P118" s="5" t="str">
        <f>IF('Jelenlét'!P118="Jövök :)",'Jelenlét'!$Z118,"")</f>
        <v/>
      </c>
      <c r="Q118" s="5" t="str">
        <f>IF('Jelenlét'!Q118="Jövök :)",'Jelenlét'!$Z118,"")</f>
        <v/>
      </c>
      <c r="R118" s="5" t="str">
        <f>IF('Jelenlét'!R118="Jövök :)",'Jelenlét'!$Z118,"")</f>
        <v/>
      </c>
      <c r="S118" s="5" t="str">
        <f>IF('Jelenlét'!S118="Jövök :)",'Jelenlét'!$Z118,"")</f>
        <v/>
      </c>
      <c r="T118" s="5" t="str">
        <f>IF('Jelenlét'!T118="Jövök :)",'Jelenlét'!$Z118,"")</f>
        <v/>
      </c>
      <c r="U118" s="5" t="str">
        <f>IF('Jelenlét'!U118="Jövök :)",'Jelenlét'!$Z118,"")</f>
        <v/>
      </c>
      <c r="V118" s="5" t="str">
        <f>IF('Jelenlét'!V118="Jövök :)",'Jelenlét'!$Z118,"")</f>
        <v/>
      </c>
    </row>
    <row r="119">
      <c r="B119" s="5" t="str">
        <f>IF('Jelenlét'!B119="Jövök :)",'Jelenlét'!$Z119,"")</f>
        <v/>
      </c>
      <c r="C119" s="5" t="str">
        <f>IF('Jelenlét'!C119="Jövök :)",'Jelenlét'!$Z119,"")</f>
        <v/>
      </c>
      <c r="D119" s="5" t="str">
        <f>IF('Jelenlét'!D119="Jövök :)",'Jelenlét'!$Z119,"")</f>
        <v/>
      </c>
      <c r="E119" s="5" t="str">
        <f>IF('Jelenlét'!E119="Jövök :)",'Jelenlét'!$Z119,"")</f>
        <v/>
      </c>
      <c r="F119" s="5" t="str">
        <f>IF('Jelenlét'!F119="Jövök :)",'Jelenlét'!$Z119,"")</f>
        <v/>
      </c>
      <c r="G119" s="5" t="str">
        <f>IF('Jelenlét'!G119="Jövök :)",'Jelenlét'!$Z119,"")</f>
        <v/>
      </c>
      <c r="H119" s="5" t="str">
        <f>IF('Jelenlét'!H119="Jövök :)",'Jelenlét'!$Z119,"")</f>
        <v/>
      </c>
      <c r="I119" s="5" t="str">
        <f>IF('Jelenlét'!I119="Jövök :)",'Jelenlét'!$Z119,"")</f>
        <v/>
      </c>
      <c r="J119" s="5" t="str">
        <f>IF('Jelenlét'!J119="Jövök :)",'Jelenlét'!$Z119,"")</f>
        <v/>
      </c>
      <c r="K119" s="5" t="str">
        <f>IF('Jelenlét'!K119="Jövök :)",'Jelenlét'!$Z119,"")</f>
        <v/>
      </c>
      <c r="L119" s="5" t="str">
        <f>IF('Jelenlét'!L119="Jövök :)",'Jelenlét'!$Z119,"")</f>
        <v/>
      </c>
      <c r="M119" s="5" t="str">
        <f>IF('Jelenlét'!M119="Jövök :)",'Jelenlét'!$Z119,"")</f>
        <v/>
      </c>
      <c r="N119" s="5" t="str">
        <f>IF('Jelenlét'!N119="Jövök :)",'Jelenlét'!$Z119,"")</f>
        <v/>
      </c>
      <c r="O119" s="5" t="str">
        <f>IF('Jelenlét'!O119="Jövök :)",'Jelenlét'!$Z119,"")</f>
        <v/>
      </c>
      <c r="P119" s="5" t="str">
        <f>IF('Jelenlét'!P119="Jövök :)",'Jelenlét'!$Z119,"")</f>
        <v/>
      </c>
      <c r="Q119" s="5" t="str">
        <f>IF('Jelenlét'!Q119="Jövök :)",'Jelenlét'!$Z119,"")</f>
        <v/>
      </c>
      <c r="R119" s="5" t="str">
        <f>IF('Jelenlét'!R119="Jövök :)",'Jelenlét'!$Z119,"")</f>
        <v/>
      </c>
      <c r="S119" s="5" t="str">
        <f>IF('Jelenlét'!S119="Jövök :)",'Jelenlét'!$Z119,"")</f>
        <v/>
      </c>
      <c r="T119" s="5" t="str">
        <f>IF('Jelenlét'!T119="Jövök :)",'Jelenlét'!$Z119,"")</f>
        <v/>
      </c>
      <c r="U119" s="5" t="str">
        <f>IF('Jelenlét'!U119="Jövök :)",'Jelenlét'!$Z119,"")</f>
        <v/>
      </c>
      <c r="V119" s="5" t="str">
        <f>IF('Jelenlét'!V119="Jövök :)",'Jelenlét'!$Z119,"")</f>
        <v/>
      </c>
    </row>
    <row r="120">
      <c r="B120" s="5" t="str">
        <f>IF('Jelenlét'!B120="Jövök :)",'Jelenlét'!$Z120,"")</f>
        <v/>
      </c>
      <c r="C120" s="5" t="str">
        <f>IF('Jelenlét'!C120="Jövök :)",'Jelenlét'!$Z120,"")</f>
        <v/>
      </c>
      <c r="D120" s="5" t="str">
        <f>IF('Jelenlét'!D120="Jövök :)",'Jelenlét'!$Z120,"")</f>
        <v/>
      </c>
      <c r="E120" s="5" t="str">
        <f>IF('Jelenlét'!E120="Jövök :)",'Jelenlét'!$Z120,"")</f>
        <v/>
      </c>
      <c r="F120" s="5" t="str">
        <f>IF('Jelenlét'!F120="Jövök :)",'Jelenlét'!$Z120,"")</f>
        <v/>
      </c>
      <c r="G120" s="5" t="str">
        <f>IF('Jelenlét'!G120="Jövök :)",'Jelenlét'!$Z120,"")</f>
        <v/>
      </c>
      <c r="H120" s="5" t="str">
        <f>IF('Jelenlét'!H120="Jövök :)",'Jelenlét'!$Z120,"")</f>
        <v/>
      </c>
      <c r="I120" s="5" t="str">
        <f>IF('Jelenlét'!I120="Jövök :)",'Jelenlét'!$Z120,"")</f>
        <v/>
      </c>
      <c r="J120" s="5" t="str">
        <f>IF('Jelenlét'!J120="Jövök :)",'Jelenlét'!$Z120,"")</f>
        <v/>
      </c>
      <c r="K120" s="5" t="str">
        <f>IF('Jelenlét'!K120="Jövök :)",'Jelenlét'!$Z120,"")</f>
        <v/>
      </c>
      <c r="L120" s="5" t="str">
        <f>IF('Jelenlét'!L120="Jövök :)",'Jelenlét'!$Z120,"")</f>
        <v/>
      </c>
      <c r="M120" s="5" t="str">
        <f>IF('Jelenlét'!M120="Jövök :)",'Jelenlét'!$Z120,"")</f>
        <v/>
      </c>
      <c r="N120" s="5" t="str">
        <f>IF('Jelenlét'!N120="Jövök :)",'Jelenlét'!$Z120,"")</f>
        <v/>
      </c>
      <c r="O120" s="5" t="str">
        <f>IF('Jelenlét'!O120="Jövök :)",'Jelenlét'!$Z120,"")</f>
        <v/>
      </c>
      <c r="P120" s="5" t="str">
        <f>IF('Jelenlét'!P120="Jövök :)",'Jelenlét'!$Z120,"")</f>
        <v/>
      </c>
      <c r="Q120" s="5" t="str">
        <f>IF('Jelenlét'!Q120="Jövök :)",'Jelenlét'!$Z120,"")</f>
        <v/>
      </c>
      <c r="R120" s="5" t="str">
        <f>IF('Jelenlét'!R120="Jövök :)",'Jelenlét'!$Z120,"")</f>
        <v/>
      </c>
      <c r="S120" s="5" t="str">
        <f>IF('Jelenlét'!S120="Jövök :)",'Jelenlét'!$Z120,"")</f>
        <v/>
      </c>
      <c r="T120" s="5" t="str">
        <f>IF('Jelenlét'!T120="Jövök :)",'Jelenlét'!$Z120,"")</f>
        <v/>
      </c>
      <c r="U120" s="5" t="str">
        <f>IF('Jelenlét'!U120="Jövök :)",'Jelenlét'!$Z120,"")</f>
        <v/>
      </c>
      <c r="V120" s="5" t="str">
        <f>IF('Jelenlét'!V120="Jövök :)",'Jelenlét'!$Z120,"")</f>
        <v/>
      </c>
    </row>
    <row r="121">
      <c r="B121" s="5" t="str">
        <f>IF('Jelenlét'!B121="Jövök :)",'Jelenlét'!$Z121,"")</f>
        <v/>
      </c>
      <c r="C121" s="5" t="str">
        <f>IF('Jelenlét'!C121="Jövök :)",'Jelenlét'!$Z121,"")</f>
        <v/>
      </c>
      <c r="D121" s="5" t="str">
        <f>IF('Jelenlét'!D121="Jövök :)",'Jelenlét'!$Z121,"")</f>
        <v/>
      </c>
      <c r="E121" s="5" t="str">
        <f>IF('Jelenlét'!E121="Jövök :)",'Jelenlét'!$Z121,"")</f>
        <v/>
      </c>
      <c r="F121" s="5" t="str">
        <f>IF('Jelenlét'!F121="Jövök :)",'Jelenlét'!$Z121,"")</f>
        <v/>
      </c>
      <c r="G121" s="5" t="str">
        <f>IF('Jelenlét'!G121="Jövök :)",'Jelenlét'!$Z121,"")</f>
        <v/>
      </c>
      <c r="H121" s="5" t="str">
        <f>IF('Jelenlét'!H121="Jövök :)",'Jelenlét'!$Z121,"")</f>
        <v/>
      </c>
      <c r="I121" s="5" t="str">
        <f>IF('Jelenlét'!I121="Jövök :)",'Jelenlét'!$Z121,"")</f>
        <v/>
      </c>
      <c r="J121" s="5" t="str">
        <f>IF('Jelenlét'!J121="Jövök :)",'Jelenlét'!$Z121,"")</f>
        <v/>
      </c>
      <c r="K121" s="5" t="str">
        <f>IF('Jelenlét'!K121="Jövök :)",'Jelenlét'!$Z121,"")</f>
        <v/>
      </c>
      <c r="L121" s="5" t="str">
        <f>IF('Jelenlét'!L121="Jövök :)",'Jelenlét'!$Z121,"")</f>
        <v/>
      </c>
      <c r="M121" s="5" t="str">
        <f>IF('Jelenlét'!M121="Jövök :)",'Jelenlét'!$Z121,"")</f>
        <v/>
      </c>
      <c r="N121" s="5" t="str">
        <f>IF('Jelenlét'!N121="Jövök :)",'Jelenlét'!$Z121,"")</f>
        <v/>
      </c>
      <c r="O121" s="5" t="str">
        <f>IF('Jelenlét'!O121="Jövök :)",'Jelenlét'!$Z121,"")</f>
        <v/>
      </c>
      <c r="P121" s="5" t="str">
        <f>IF('Jelenlét'!P121="Jövök :)",'Jelenlét'!$Z121,"")</f>
        <v/>
      </c>
      <c r="Q121" s="5" t="str">
        <f>IF('Jelenlét'!Q121="Jövök :)",'Jelenlét'!$Z121,"")</f>
        <v/>
      </c>
      <c r="R121" s="5" t="str">
        <f>IF('Jelenlét'!R121="Jövök :)",'Jelenlét'!$Z121,"")</f>
        <v/>
      </c>
      <c r="S121" s="5" t="str">
        <f>IF('Jelenlét'!S121="Jövök :)",'Jelenlét'!$Z121,"")</f>
        <v/>
      </c>
      <c r="T121" s="5" t="str">
        <f>IF('Jelenlét'!T121="Jövök :)",'Jelenlét'!$Z121,"")</f>
        <v/>
      </c>
      <c r="U121" s="5" t="str">
        <f>IF('Jelenlét'!U121="Jövök :)",'Jelenlét'!$Z121,"")</f>
        <v/>
      </c>
      <c r="V121" s="5" t="str">
        <f>IF('Jelenlét'!V121="Jövök :)",'Jelenlét'!$Z121,"")</f>
        <v/>
      </c>
    </row>
    <row r="122">
      <c r="B122" s="5" t="str">
        <f>IF('Jelenlét'!B122="Jövök :)",'Jelenlét'!$Z122,"")</f>
        <v/>
      </c>
      <c r="C122" s="5" t="str">
        <f>IF('Jelenlét'!C122="Jövök :)",'Jelenlét'!$Z122,"")</f>
        <v/>
      </c>
      <c r="D122" s="5" t="str">
        <f>IF('Jelenlét'!D122="Jövök :)",'Jelenlét'!$Z122,"")</f>
        <v/>
      </c>
      <c r="E122" s="5" t="str">
        <f>IF('Jelenlét'!E122="Jövök :)",'Jelenlét'!$Z122,"")</f>
        <v/>
      </c>
      <c r="F122" s="5" t="str">
        <f>IF('Jelenlét'!F122="Jövök :)",'Jelenlét'!$Z122,"")</f>
        <v/>
      </c>
      <c r="G122" s="5" t="str">
        <f>IF('Jelenlét'!G122="Jövök :)",'Jelenlét'!$Z122,"")</f>
        <v/>
      </c>
      <c r="H122" s="5" t="str">
        <f>IF('Jelenlét'!H122="Jövök :)",'Jelenlét'!$Z122,"")</f>
        <v/>
      </c>
      <c r="I122" s="5" t="str">
        <f>IF('Jelenlét'!I122="Jövök :)",'Jelenlét'!$Z122,"")</f>
        <v/>
      </c>
      <c r="J122" s="5" t="str">
        <f>IF('Jelenlét'!J122="Jövök :)",'Jelenlét'!$Z122,"")</f>
        <v/>
      </c>
      <c r="K122" s="5" t="str">
        <f>IF('Jelenlét'!K122="Jövök :)",'Jelenlét'!$Z122,"")</f>
        <v/>
      </c>
      <c r="L122" s="5" t="str">
        <f>IF('Jelenlét'!L122="Jövök :)",'Jelenlét'!$Z122,"")</f>
        <v/>
      </c>
      <c r="M122" s="5" t="str">
        <f>IF('Jelenlét'!M122="Jövök :)",'Jelenlét'!$Z122,"")</f>
        <v/>
      </c>
      <c r="N122" s="5" t="str">
        <f>IF('Jelenlét'!N122="Jövök :)",'Jelenlét'!$Z122,"")</f>
        <v/>
      </c>
      <c r="O122" s="5" t="str">
        <f>IF('Jelenlét'!O122="Jövök :)",'Jelenlét'!$Z122,"")</f>
        <v/>
      </c>
      <c r="P122" s="5" t="str">
        <f>IF('Jelenlét'!P122="Jövök :)",'Jelenlét'!$Z122,"")</f>
        <v/>
      </c>
      <c r="Q122" s="5" t="str">
        <f>IF('Jelenlét'!Q122="Jövök :)",'Jelenlét'!$Z122,"")</f>
        <v/>
      </c>
      <c r="R122" s="5" t="str">
        <f>IF('Jelenlét'!R122="Jövök :)",'Jelenlét'!$Z122,"")</f>
        <v/>
      </c>
      <c r="S122" s="5" t="str">
        <f>IF('Jelenlét'!S122="Jövök :)",'Jelenlét'!$Z122,"")</f>
        <v/>
      </c>
      <c r="T122" s="5" t="str">
        <f>IF('Jelenlét'!T122="Jövök :)",'Jelenlét'!$Z122,"")</f>
        <v/>
      </c>
      <c r="U122" s="5" t="str">
        <f>IF('Jelenlét'!U122="Jövök :)",'Jelenlét'!$Z122,"")</f>
        <v/>
      </c>
      <c r="V122" s="5" t="str">
        <f>IF('Jelenlét'!V122="Jövök :)",'Jelenlét'!$Z122,"")</f>
        <v/>
      </c>
    </row>
    <row r="123">
      <c r="B123" s="5" t="str">
        <f>IF('Jelenlét'!B123="Jövök :)",'Jelenlét'!$Z123,"")</f>
        <v/>
      </c>
      <c r="C123" s="5" t="str">
        <f>IF('Jelenlét'!C123="Jövök :)",'Jelenlét'!$Z123,"")</f>
        <v/>
      </c>
      <c r="D123" s="5" t="str">
        <f>IF('Jelenlét'!D123="Jövök :)",'Jelenlét'!$Z123,"")</f>
        <v/>
      </c>
      <c r="E123" s="5" t="str">
        <f>IF('Jelenlét'!E123="Jövök :)",'Jelenlét'!$Z123,"")</f>
        <v/>
      </c>
      <c r="F123" s="5" t="str">
        <f>IF('Jelenlét'!F123="Jövök :)",'Jelenlét'!$Z123,"")</f>
        <v/>
      </c>
      <c r="G123" s="5" t="str">
        <f>IF('Jelenlét'!G123="Jövök :)",'Jelenlét'!$Z123,"")</f>
        <v/>
      </c>
      <c r="H123" s="5" t="str">
        <f>IF('Jelenlét'!H123="Jövök :)",'Jelenlét'!$Z123,"")</f>
        <v/>
      </c>
      <c r="I123" s="5" t="str">
        <f>IF('Jelenlét'!I123="Jövök :)",'Jelenlét'!$Z123,"")</f>
        <v/>
      </c>
      <c r="J123" s="5" t="str">
        <f>IF('Jelenlét'!J123="Jövök :)",'Jelenlét'!$Z123,"")</f>
        <v/>
      </c>
      <c r="K123" s="5" t="str">
        <f>IF('Jelenlét'!K123="Jövök :)",'Jelenlét'!$Z123,"")</f>
        <v/>
      </c>
      <c r="L123" s="5" t="str">
        <f>IF('Jelenlét'!L123="Jövök :)",'Jelenlét'!$Z123,"")</f>
        <v/>
      </c>
      <c r="M123" s="5" t="str">
        <f>IF('Jelenlét'!M123="Jövök :)",'Jelenlét'!$Z123,"")</f>
        <v/>
      </c>
      <c r="N123" s="5" t="str">
        <f>IF('Jelenlét'!N123="Jövök :)",'Jelenlét'!$Z123,"")</f>
        <v/>
      </c>
      <c r="O123" s="5" t="str">
        <f>IF('Jelenlét'!O123="Jövök :)",'Jelenlét'!$Z123,"")</f>
        <v/>
      </c>
      <c r="P123" s="5" t="str">
        <f>IF('Jelenlét'!P123="Jövök :)",'Jelenlét'!$Z123,"")</f>
        <v/>
      </c>
      <c r="Q123" s="5" t="str">
        <f>IF('Jelenlét'!Q123="Jövök :)",'Jelenlét'!$Z123,"")</f>
        <v/>
      </c>
      <c r="R123" s="5" t="str">
        <f>IF('Jelenlét'!R123="Jövök :)",'Jelenlét'!$Z123,"")</f>
        <v/>
      </c>
      <c r="S123" s="5" t="str">
        <f>IF('Jelenlét'!S123="Jövök :)",'Jelenlét'!$Z123,"")</f>
        <v/>
      </c>
      <c r="T123" s="5" t="str">
        <f>IF('Jelenlét'!T123="Jövök :)",'Jelenlét'!$Z123,"")</f>
        <v/>
      </c>
      <c r="U123" s="5" t="str">
        <f>IF('Jelenlét'!U123="Jövök :)",'Jelenlét'!$Z123,"")</f>
        <v/>
      </c>
      <c r="V123" s="5" t="str">
        <f>IF('Jelenlét'!V123="Jövök :)",'Jelenlét'!$Z123,"")</f>
        <v/>
      </c>
    </row>
    <row r="124">
      <c r="B124" s="5" t="str">
        <f>IF('Jelenlét'!B124="Jövök :)",'Jelenlét'!$Z124,"")</f>
        <v/>
      </c>
      <c r="C124" s="5" t="str">
        <f>IF('Jelenlét'!C124="Jövök :)",'Jelenlét'!$Z124,"")</f>
        <v/>
      </c>
      <c r="D124" s="5" t="str">
        <f>IF('Jelenlét'!D124="Jövök :)",'Jelenlét'!$Z124,"")</f>
        <v/>
      </c>
      <c r="E124" s="5" t="str">
        <f>IF('Jelenlét'!E124="Jövök :)",'Jelenlét'!$Z124,"")</f>
        <v/>
      </c>
      <c r="F124" s="5" t="str">
        <f>IF('Jelenlét'!F124="Jövök :)",'Jelenlét'!$Z124,"")</f>
        <v/>
      </c>
      <c r="G124" s="5" t="str">
        <f>IF('Jelenlét'!G124="Jövök :)",'Jelenlét'!$Z124,"")</f>
        <v/>
      </c>
      <c r="H124" s="5" t="str">
        <f>IF('Jelenlét'!H124="Jövök :)",'Jelenlét'!$Z124,"")</f>
        <v/>
      </c>
      <c r="I124" s="5" t="str">
        <f>IF('Jelenlét'!I124="Jövök :)",'Jelenlét'!$Z124,"")</f>
        <v/>
      </c>
      <c r="J124" s="5" t="str">
        <f>IF('Jelenlét'!J124="Jövök :)",'Jelenlét'!$Z124,"")</f>
        <v/>
      </c>
      <c r="K124" s="5" t="str">
        <f>IF('Jelenlét'!K124="Jövök :)",'Jelenlét'!$Z124,"")</f>
        <v/>
      </c>
      <c r="L124" s="5" t="str">
        <f>IF('Jelenlét'!L124="Jövök :)",'Jelenlét'!$Z124,"")</f>
        <v/>
      </c>
      <c r="M124" s="5" t="str">
        <f>IF('Jelenlét'!M124="Jövök :)",'Jelenlét'!$Z124,"")</f>
        <v/>
      </c>
      <c r="N124" s="5" t="str">
        <f>IF('Jelenlét'!N124="Jövök :)",'Jelenlét'!$Z124,"")</f>
        <v/>
      </c>
      <c r="O124" s="5" t="str">
        <f>IF('Jelenlét'!O124="Jövök :)",'Jelenlét'!$Z124,"")</f>
        <v/>
      </c>
      <c r="P124" s="5" t="str">
        <f>IF('Jelenlét'!P124="Jövök :)",'Jelenlét'!$Z124,"")</f>
        <v/>
      </c>
      <c r="Q124" s="5" t="str">
        <f>IF('Jelenlét'!Q124="Jövök :)",'Jelenlét'!$Z124,"")</f>
        <v/>
      </c>
      <c r="R124" s="5" t="str">
        <f>IF('Jelenlét'!R124="Jövök :)",'Jelenlét'!$Z124,"")</f>
        <v/>
      </c>
      <c r="S124" s="5" t="str">
        <f>IF('Jelenlét'!S124="Jövök :)",'Jelenlét'!$Z124,"")</f>
        <v/>
      </c>
      <c r="T124" s="5" t="str">
        <f>IF('Jelenlét'!T124="Jövök :)",'Jelenlét'!$Z124,"")</f>
        <v/>
      </c>
      <c r="U124" s="5" t="str">
        <f>IF('Jelenlét'!U124="Jövök :)",'Jelenlét'!$Z124,"")</f>
        <v/>
      </c>
      <c r="V124" s="5" t="str">
        <f>IF('Jelenlét'!V124="Jövök :)",'Jelenlét'!$Z124,"")</f>
        <v/>
      </c>
    </row>
    <row r="125">
      <c r="B125" s="5" t="str">
        <f>IF('Jelenlét'!B125="Jövök :)",'Jelenlét'!$Z125,"")</f>
        <v/>
      </c>
      <c r="C125" s="5" t="str">
        <f>IF('Jelenlét'!C125="Jövök :)",'Jelenlét'!$Z125,"")</f>
        <v/>
      </c>
      <c r="D125" s="5" t="str">
        <f>IF('Jelenlét'!D125="Jövök :)",'Jelenlét'!$Z125,"")</f>
        <v/>
      </c>
      <c r="E125" s="5" t="str">
        <f>IF('Jelenlét'!E125="Jövök :)",'Jelenlét'!$Z125,"")</f>
        <v/>
      </c>
      <c r="F125" s="5" t="str">
        <f>IF('Jelenlét'!F125="Jövök :)",'Jelenlét'!$Z125,"")</f>
        <v/>
      </c>
      <c r="G125" s="5" t="str">
        <f>IF('Jelenlét'!G125="Jövök :)",'Jelenlét'!$Z125,"")</f>
        <v/>
      </c>
      <c r="H125" s="5" t="str">
        <f>IF('Jelenlét'!H125="Jövök :)",'Jelenlét'!$Z125,"")</f>
        <v/>
      </c>
      <c r="I125" s="5" t="str">
        <f>IF('Jelenlét'!I125="Jövök :)",'Jelenlét'!$Z125,"")</f>
        <v/>
      </c>
      <c r="J125" s="5" t="str">
        <f>IF('Jelenlét'!J125="Jövök :)",'Jelenlét'!$Z125,"")</f>
        <v/>
      </c>
      <c r="K125" s="5" t="str">
        <f>IF('Jelenlét'!K125="Jövök :)",'Jelenlét'!$Z125,"")</f>
        <v/>
      </c>
      <c r="L125" s="5" t="str">
        <f>IF('Jelenlét'!L125="Jövök :)",'Jelenlét'!$Z125,"")</f>
        <v/>
      </c>
      <c r="M125" s="5" t="str">
        <f>IF('Jelenlét'!M125="Jövök :)",'Jelenlét'!$Z125,"")</f>
        <v/>
      </c>
      <c r="N125" s="5" t="str">
        <f>IF('Jelenlét'!N125="Jövök :)",'Jelenlét'!$Z125,"")</f>
        <v/>
      </c>
      <c r="O125" s="5" t="str">
        <f>IF('Jelenlét'!O125="Jövök :)",'Jelenlét'!$Z125,"")</f>
        <v/>
      </c>
      <c r="P125" s="5" t="str">
        <f>IF('Jelenlét'!P125="Jövök :)",'Jelenlét'!$Z125,"")</f>
        <v/>
      </c>
      <c r="Q125" s="5" t="str">
        <f>IF('Jelenlét'!Q125="Jövök :)",'Jelenlét'!$Z125,"")</f>
        <v/>
      </c>
      <c r="R125" s="5" t="str">
        <f>IF('Jelenlét'!R125="Jövök :)",'Jelenlét'!$Z125,"")</f>
        <v/>
      </c>
      <c r="S125" s="5" t="str">
        <f>IF('Jelenlét'!S125="Jövök :)",'Jelenlét'!$Z125,"")</f>
        <v/>
      </c>
      <c r="T125" s="5" t="str">
        <f>IF('Jelenlét'!T125="Jövök :)",'Jelenlét'!$Z125,"")</f>
        <v/>
      </c>
      <c r="U125" s="5" t="str">
        <f>IF('Jelenlét'!U125="Jövök :)",'Jelenlét'!$Z125,"")</f>
        <v/>
      </c>
      <c r="V125" s="5" t="str">
        <f>IF('Jelenlét'!V125="Jövök :)",'Jelenlét'!$Z125,"")</f>
        <v/>
      </c>
    </row>
    <row r="126">
      <c r="B126" s="5" t="str">
        <f>IF('Jelenlét'!B126="Jövök :)",'Jelenlét'!$Z126,"")</f>
        <v/>
      </c>
      <c r="C126" s="5" t="str">
        <f>IF('Jelenlét'!C126="Jövök :)",'Jelenlét'!$Z126,"")</f>
        <v/>
      </c>
      <c r="D126" s="5" t="str">
        <f>IF('Jelenlét'!D126="Jövök :)",'Jelenlét'!$Z126,"")</f>
        <v/>
      </c>
      <c r="E126" s="5" t="str">
        <f>IF('Jelenlét'!E126="Jövök :)",'Jelenlét'!$Z126,"")</f>
        <v/>
      </c>
      <c r="F126" s="5" t="str">
        <f>IF('Jelenlét'!F126="Jövök :)",'Jelenlét'!$Z126,"")</f>
        <v/>
      </c>
      <c r="G126" s="5" t="str">
        <f>IF('Jelenlét'!G126="Jövök :)",'Jelenlét'!$Z126,"")</f>
        <v/>
      </c>
      <c r="H126" s="5" t="str">
        <f>IF('Jelenlét'!H126="Jövök :)",'Jelenlét'!$Z126,"")</f>
        <v/>
      </c>
      <c r="I126" s="5" t="str">
        <f>IF('Jelenlét'!I126="Jövök :)",'Jelenlét'!$Z126,"")</f>
        <v/>
      </c>
      <c r="J126" s="5" t="str">
        <f>IF('Jelenlét'!J126="Jövök :)",'Jelenlét'!$Z126,"")</f>
        <v/>
      </c>
      <c r="K126" s="5" t="str">
        <f>IF('Jelenlét'!K126="Jövök :)",'Jelenlét'!$Z126,"")</f>
        <v/>
      </c>
      <c r="L126" s="5" t="str">
        <f>IF('Jelenlét'!L126="Jövök :)",'Jelenlét'!$Z126,"")</f>
        <v/>
      </c>
      <c r="M126" s="5" t="str">
        <f>IF('Jelenlét'!M126="Jövök :)",'Jelenlét'!$Z126,"")</f>
        <v/>
      </c>
      <c r="N126" s="5" t="str">
        <f>IF('Jelenlét'!N126="Jövök :)",'Jelenlét'!$Z126,"")</f>
        <v/>
      </c>
      <c r="O126" s="5" t="str">
        <f>IF('Jelenlét'!O126="Jövök :)",'Jelenlét'!$Z126,"")</f>
        <v/>
      </c>
      <c r="P126" s="5" t="str">
        <f>IF('Jelenlét'!P126="Jövök :)",'Jelenlét'!$Z126,"")</f>
        <v/>
      </c>
      <c r="Q126" s="5" t="str">
        <f>IF('Jelenlét'!Q126="Jövök :)",'Jelenlét'!$Z126,"")</f>
        <v/>
      </c>
      <c r="R126" s="5" t="str">
        <f>IF('Jelenlét'!R126="Jövök :)",'Jelenlét'!$Z126,"")</f>
        <v/>
      </c>
      <c r="S126" s="5" t="str">
        <f>IF('Jelenlét'!S126="Jövök :)",'Jelenlét'!$Z126,"")</f>
        <v/>
      </c>
      <c r="T126" s="5" t="str">
        <f>IF('Jelenlét'!T126="Jövök :)",'Jelenlét'!$Z126,"")</f>
        <v/>
      </c>
      <c r="U126" s="5" t="str">
        <f>IF('Jelenlét'!U126="Jövök :)",'Jelenlét'!$Z126,"")</f>
        <v/>
      </c>
      <c r="V126" s="5" t="str">
        <f>IF('Jelenlét'!V126="Jövök :)",'Jelenlét'!$Z126,"")</f>
        <v/>
      </c>
    </row>
    <row r="127">
      <c r="B127" s="5" t="str">
        <f>IF('Jelenlét'!B127="Jövök :)",'Jelenlét'!$Z127,"")</f>
        <v/>
      </c>
      <c r="C127" s="5" t="str">
        <f>IF('Jelenlét'!C127="Jövök :)",'Jelenlét'!$Z127,"")</f>
        <v/>
      </c>
      <c r="D127" s="5" t="str">
        <f>IF('Jelenlét'!D127="Jövök :)",'Jelenlét'!$Z127,"")</f>
        <v/>
      </c>
      <c r="E127" s="5" t="str">
        <f>IF('Jelenlét'!E127="Jövök :)",'Jelenlét'!$Z127,"")</f>
        <v/>
      </c>
      <c r="F127" s="5" t="str">
        <f>IF('Jelenlét'!F127="Jövök :)",'Jelenlét'!$Z127,"")</f>
        <v/>
      </c>
      <c r="G127" s="5" t="str">
        <f>IF('Jelenlét'!G127="Jövök :)",'Jelenlét'!$Z127,"")</f>
        <v/>
      </c>
      <c r="H127" s="5" t="str">
        <f>IF('Jelenlét'!H127="Jövök :)",'Jelenlét'!$Z127,"")</f>
        <v/>
      </c>
      <c r="I127" s="5" t="str">
        <f>IF('Jelenlét'!I127="Jövök :)",'Jelenlét'!$Z127,"")</f>
        <v/>
      </c>
      <c r="J127" s="5" t="str">
        <f>IF('Jelenlét'!J127="Jövök :)",'Jelenlét'!$Z127,"")</f>
        <v/>
      </c>
      <c r="K127" s="5" t="str">
        <f>IF('Jelenlét'!K127="Jövök :)",'Jelenlét'!$Z127,"")</f>
        <v/>
      </c>
      <c r="L127" s="5" t="str">
        <f>IF('Jelenlét'!L127="Jövök :)",'Jelenlét'!$Z127,"")</f>
        <v/>
      </c>
      <c r="M127" s="5" t="str">
        <f>IF('Jelenlét'!M127="Jövök :)",'Jelenlét'!$Z127,"")</f>
        <v/>
      </c>
      <c r="N127" s="5" t="str">
        <f>IF('Jelenlét'!N127="Jövök :)",'Jelenlét'!$Z127,"")</f>
        <v/>
      </c>
      <c r="O127" s="5" t="str">
        <f>IF('Jelenlét'!O127="Jövök :)",'Jelenlét'!$Z127,"")</f>
        <v/>
      </c>
      <c r="P127" s="5" t="str">
        <f>IF('Jelenlét'!P127="Jövök :)",'Jelenlét'!$Z127,"")</f>
        <v/>
      </c>
      <c r="Q127" s="5" t="str">
        <f>IF('Jelenlét'!Q127="Jövök :)",'Jelenlét'!$Z127,"")</f>
        <v/>
      </c>
      <c r="R127" s="5" t="str">
        <f>IF('Jelenlét'!R127="Jövök :)",'Jelenlét'!$Z127,"")</f>
        <v/>
      </c>
      <c r="S127" s="5" t="str">
        <f>IF('Jelenlét'!S127="Jövök :)",'Jelenlét'!$Z127,"")</f>
        <v/>
      </c>
      <c r="T127" s="5" t="str">
        <f>IF('Jelenlét'!T127="Jövök :)",'Jelenlét'!$Z127,"")</f>
        <v/>
      </c>
      <c r="U127" s="5" t="str">
        <f>IF('Jelenlét'!U127="Jövök :)",'Jelenlét'!$Z127,"")</f>
        <v/>
      </c>
      <c r="V127" s="5" t="str">
        <f>IF('Jelenlét'!V127="Jövök :)",'Jelenlét'!$Z127,"")</f>
        <v/>
      </c>
    </row>
    <row r="128">
      <c r="B128" s="5" t="str">
        <f>IF('Jelenlét'!B128="Jövök :)",'Jelenlét'!$Z128,"")</f>
        <v/>
      </c>
      <c r="C128" s="5" t="str">
        <f>IF('Jelenlét'!C128="Jövök :)",'Jelenlét'!$Z128,"")</f>
        <v/>
      </c>
      <c r="D128" s="5" t="str">
        <f>IF('Jelenlét'!D128="Jövök :)",'Jelenlét'!$Z128,"")</f>
        <v/>
      </c>
      <c r="E128" s="5" t="str">
        <f>IF('Jelenlét'!E128="Jövök :)",'Jelenlét'!$Z128,"")</f>
        <v/>
      </c>
      <c r="F128" s="5" t="str">
        <f>IF('Jelenlét'!F128="Jövök :)",'Jelenlét'!$Z128,"")</f>
        <v/>
      </c>
      <c r="G128" s="5" t="str">
        <f>IF('Jelenlét'!G128="Jövök :)",'Jelenlét'!$Z128,"")</f>
        <v/>
      </c>
      <c r="H128" s="5" t="str">
        <f>IF('Jelenlét'!H128="Jövök :)",'Jelenlét'!$Z128,"")</f>
        <v/>
      </c>
      <c r="I128" s="5" t="str">
        <f>IF('Jelenlét'!I128="Jövök :)",'Jelenlét'!$Z128,"")</f>
        <v/>
      </c>
      <c r="J128" s="5" t="str">
        <f>IF('Jelenlét'!J128="Jövök :)",'Jelenlét'!$Z128,"")</f>
        <v/>
      </c>
      <c r="K128" s="5" t="str">
        <f>IF('Jelenlét'!K128="Jövök :)",'Jelenlét'!$Z128,"")</f>
        <v/>
      </c>
      <c r="L128" s="5" t="str">
        <f>IF('Jelenlét'!L128="Jövök :)",'Jelenlét'!$Z128,"")</f>
        <v/>
      </c>
      <c r="M128" s="5" t="str">
        <f>IF('Jelenlét'!M128="Jövök :)",'Jelenlét'!$Z128,"")</f>
        <v/>
      </c>
      <c r="N128" s="5" t="str">
        <f>IF('Jelenlét'!N128="Jövök :)",'Jelenlét'!$Z128,"")</f>
        <v/>
      </c>
      <c r="O128" s="5" t="str">
        <f>IF('Jelenlét'!O128="Jövök :)",'Jelenlét'!$Z128,"")</f>
        <v/>
      </c>
      <c r="P128" s="5" t="str">
        <f>IF('Jelenlét'!P128="Jövök :)",'Jelenlét'!$Z128,"")</f>
        <v/>
      </c>
      <c r="Q128" s="5" t="str">
        <f>IF('Jelenlét'!Q128="Jövök :)",'Jelenlét'!$Z128,"")</f>
        <v/>
      </c>
      <c r="R128" s="5" t="str">
        <f>IF('Jelenlét'!R128="Jövök :)",'Jelenlét'!$Z128,"")</f>
        <v/>
      </c>
      <c r="S128" s="5" t="str">
        <f>IF('Jelenlét'!S128="Jövök :)",'Jelenlét'!$Z128,"")</f>
        <v/>
      </c>
      <c r="T128" s="5" t="str">
        <f>IF('Jelenlét'!T128="Jövök :)",'Jelenlét'!$Z128,"")</f>
        <v/>
      </c>
      <c r="U128" s="5" t="str">
        <f>IF('Jelenlét'!U128="Jövök :)",'Jelenlét'!$Z128,"")</f>
        <v/>
      </c>
      <c r="V128" s="5" t="str">
        <f>IF('Jelenlét'!V128="Jövök :)",'Jelenlét'!$Z128,"")</f>
        <v/>
      </c>
    </row>
    <row r="129">
      <c r="B129" s="5" t="str">
        <f>IF('Jelenlét'!B129="Jövök :)",'Jelenlét'!$Z129,"")</f>
        <v/>
      </c>
      <c r="C129" s="5" t="str">
        <f>IF('Jelenlét'!C129="Jövök :)",'Jelenlét'!$Z129,"")</f>
        <v/>
      </c>
      <c r="D129" s="5" t="str">
        <f>IF('Jelenlét'!D129="Jövök :)",'Jelenlét'!$Z129,"")</f>
        <v/>
      </c>
      <c r="E129" s="5" t="str">
        <f>IF('Jelenlét'!E129="Jövök :)",'Jelenlét'!$Z129,"")</f>
        <v/>
      </c>
      <c r="F129" s="5" t="str">
        <f>IF('Jelenlét'!F129="Jövök :)",'Jelenlét'!$Z129,"")</f>
        <v/>
      </c>
      <c r="G129" s="5" t="str">
        <f>IF('Jelenlét'!G129="Jövök :)",'Jelenlét'!$Z129,"")</f>
        <v/>
      </c>
      <c r="H129" s="5" t="str">
        <f>IF('Jelenlét'!H129="Jövök :)",'Jelenlét'!$Z129,"")</f>
        <v/>
      </c>
      <c r="I129" s="5" t="str">
        <f>IF('Jelenlét'!I129="Jövök :)",'Jelenlét'!$Z129,"")</f>
        <v/>
      </c>
      <c r="J129" s="5" t="str">
        <f>IF('Jelenlét'!J129="Jövök :)",'Jelenlét'!$Z129,"")</f>
        <v/>
      </c>
      <c r="K129" s="5" t="str">
        <f>IF('Jelenlét'!K129="Jövök :)",'Jelenlét'!$Z129,"")</f>
        <v/>
      </c>
      <c r="L129" s="5" t="str">
        <f>IF('Jelenlét'!L129="Jövök :)",'Jelenlét'!$Z129,"")</f>
        <v/>
      </c>
      <c r="M129" s="5" t="str">
        <f>IF('Jelenlét'!M129="Jövök :)",'Jelenlét'!$Z129,"")</f>
        <v/>
      </c>
      <c r="N129" s="5" t="str">
        <f>IF('Jelenlét'!N129="Jövök :)",'Jelenlét'!$Z129,"")</f>
        <v/>
      </c>
      <c r="O129" s="5" t="str">
        <f>IF('Jelenlét'!O129="Jövök :)",'Jelenlét'!$Z129,"")</f>
        <v/>
      </c>
      <c r="P129" s="5" t="str">
        <f>IF('Jelenlét'!P129="Jövök :)",'Jelenlét'!$Z129,"")</f>
        <v/>
      </c>
      <c r="Q129" s="5" t="str">
        <f>IF('Jelenlét'!Q129="Jövök :)",'Jelenlét'!$Z129,"")</f>
        <v/>
      </c>
      <c r="R129" s="5" t="str">
        <f>IF('Jelenlét'!R129="Jövök :)",'Jelenlét'!$Z129,"")</f>
        <v/>
      </c>
      <c r="S129" s="5" t="str">
        <f>IF('Jelenlét'!S129="Jövök :)",'Jelenlét'!$Z129,"")</f>
        <v/>
      </c>
      <c r="T129" s="5" t="str">
        <f>IF('Jelenlét'!T129="Jövök :)",'Jelenlét'!$Z129,"")</f>
        <v/>
      </c>
      <c r="U129" s="5" t="str">
        <f>IF('Jelenlét'!U129="Jövök :)",'Jelenlét'!$Z129,"")</f>
        <v/>
      </c>
      <c r="V129" s="5" t="str">
        <f>IF('Jelenlét'!V129="Jövök :)",'Jelenlét'!$Z129,"")</f>
        <v/>
      </c>
    </row>
    <row r="130">
      <c r="B130" s="5" t="str">
        <f>IF('Jelenlét'!B130="Jövök :)",'Jelenlét'!$Z130,"")</f>
        <v/>
      </c>
      <c r="C130" s="5" t="str">
        <f>IF('Jelenlét'!C130="Jövök :)",'Jelenlét'!$Z130,"")</f>
        <v/>
      </c>
      <c r="D130" s="5" t="str">
        <f>IF('Jelenlét'!D130="Jövök :)",'Jelenlét'!$Z130,"")</f>
        <v/>
      </c>
      <c r="E130" s="5" t="str">
        <f>IF('Jelenlét'!E130="Jövök :)",'Jelenlét'!$Z130,"")</f>
        <v/>
      </c>
      <c r="F130" s="5" t="str">
        <f>IF('Jelenlét'!F130="Jövök :)",'Jelenlét'!$Z130,"")</f>
        <v/>
      </c>
      <c r="G130" s="5" t="str">
        <f>IF('Jelenlét'!G130="Jövök :)",'Jelenlét'!$Z130,"")</f>
        <v/>
      </c>
      <c r="H130" s="5" t="str">
        <f>IF('Jelenlét'!H130="Jövök :)",'Jelenlét'!$Z130,"")</f>
        <v/>
      </c>
      <c r="I130" s="5" t="str">
        <f>IF('Jelenlét'!I130="Jövök :)",'Jelenlét'!$Z130,"")</f>
        <v/>
      </c>
      <c r="J130" s="5" t="str">
        <f>IF('Jelenlét'!J130="Jövök :)",'Jelenlét'!$Z130,"")</f>
        <v/>
      </c>
      <c r="K130" s="5" t="str">
        <f>IF('Jelenlét'!K130="Jövök :)",'Jelenlét'!$Z130,"")</f>
        <v/>
      </c>
      <c r="L130" s="5" t="str">
        <f>IF('Jelenlét'!L130="Jövök :)",'Jelenlét'!$Z130,"")</f>
        <v/>
      </c>
      <c r="M130" s="5" t="str">
        <f>IF('Jelenlét'!M130="Jövök :)",'Jelenlét'!$Z130,"")</f>
        <v/>
      </c>
      <c r="N130" s="5" t="str">
        <f>IF('Jelenlét'!N130="Jövök :)",'Jelenlét'!$Z130,"")</f>
        <v/>
      </c>
      <c r="O130" s="5" t="str">
        <f>IF('Jelenlét'!O130="Jövök :)",'Jelenlét'!$Z130,"")</f>
        <v/>
      </c>
      <c r="P130" s="5" t="str">
        <f>IF('Jelenlét'!P130="Jövök :)",'Jelenlét'!$Z130,"")</f>
        <v/>
      </c>
      <c r="Q130" s="5" t="str">
        <f>IF('Jelenlét'!Q130="Jövök :)",'Jelenlét'!$Z130,"")</f>
        <v/>
      </c>
      <c r="R130" s="5" t="str">
        <f>IF('Jelenlét'!R130="Jövök :)",'Jelenlét'!$Z130,"")</f>
        <v/>
      </c>
      <c r="S130" s="5" t="str">
        <f>IF('Jelenlét'!S130="Jövök :)",'Jelenlét'!$Z130,"")</f>
        <v/>
      </c>
      <c r="T130" s="5" t="str">
        <f>IF('Jelenlét'!T130="Jövök :)",'Jelenlét'!$Z130,"")</f>
        <v/>
      </c>
      <c r="U130" s="5" t="str">
        <f>IF('Jelenlét'!U130="Jövök :)",'Jelenlét'!$Z130,"")</f>
        <v/>
      </c>
      <c r="V130" s="5" t="str">
        <f>IF('Jelenlét'!V130="Jövök :)",'Jelenlét'!$Z130,"")</f>
        <v/>
      </c>
    </row>
    <row r="131">
      <c r="B131" s="5" t="str">
        <f>IF('Jelenlét'!B131="Jövök :)",'Jelenlét'!$Z131,"")</f>
        <v/>
      </c>
      <c r="C131" s="5" t="str">
        <f>IF('Jelenlét'!C131="Jövök :)",'Jelenlét'!$Z131,"")</f>
        <v/>
      </c>
      <c r="D131" s="5" t="str">
        <f>IF('Jelenlét'!D131="Jövök :)",'Jelenlét'!$Z131,"")</f>
        <v/>
      </c>
      <c r="E131" s="5" t="str">
        <f>IF('Jelenlét'!E131="Jövök :)",'Jelenlét'!$Z131,"")</f>
        <v/>
      </c>
      <c r="F131" s="5" t="str">
        <f>IF('Jelenlét'!F131="Jövök :)",'Jelenlét'!$Z131,"")</f>
        <v/>
      </c>
      <c r="G131" s="5" t="str">
        <f>IF('Jelenlét'!G131="Jövök :)",'Jelenlét'!$Z131,"")</f>
        <v/>
      </c>
      <c r="H131" s="5" t="str">
        <f>IF('Jelenlét'!H131="Jövök :)",'Jelenlét'!$Z131,"")</f>
        <v/>
      </c>
      <c r="I131" s="5" t="str">
        <f>IF('Jelenlét'!I131="Jövök :)",'Jelenlét'!$Z131,"")</f>
        <v/>
      </c>
      <c r="J131" s="5" t="str">
        <f>IF('Jelenlét'!J131="Jövök :)",'Jelenlét'!$Z131,"")</f>
        <v/>
      </c>
      <c r="K131" s="5" t="str">
        <f>IF('Jelenlét'!K131="Jövök :)",'Jelenlét'!$Z131,"")</f>
        <v/>
      </c>
      <c r="L131" s="5" t="str">
        <f>IF('Jelenlét'!L131="Jövök :)",'Jelenlét'!$Z131,"")</f>
        <v/>
      </c>
      <c r="M131" s="5" t="str">
        <f>IF('Jelenlét'!M131="Jövök :)",'Jelenlét'!$Z131,"")</f>
        <v/>
      </c>
      <c r="N131" s="5" t="str">
        <f>IF('Jelenlét'!N131="Jövök :)",'Jelenlét'!$Z131,"")</f>
        <v/>
      </c>
      <c r="O131" s="5" t="str">
        <f>IF('Jelenlét'!O131="Jövök :)",'Jelenlét'!$Z131,"")</f>
        <v/>
      </c>
      <c r="P131" s="5" t="str">
        <f>IF('Jelenlét'!P131="Jövök :)",'Jelenlét'!$Z131,"")</f>
        <v/>
      </c>
      <c r="Q131" s="5" t="str">
        <f>IF('Jelenlét'!Q131="Jövök :)",'Jelenlét'!$Z131,"")</f>
        <v/>
      </c>
      <c r="R131" s="5" t="str">
        <f>IF('Jelenlét'!R131="Jövök :)",'Jelenlét'!$Z131,"")</f>
        <v/>
      </c>
      <c r="S131" s="5" t="str">
        <f>IF('Jelenlét'!S131="Jövök :)",'Jelenlét'!$Z131,"")</f>
        <v/>
      </c>
      <c r="T131" s="5" t="str">
        <f>IF('Jelenlét'!T131="Jövök :)",'Jelenlét'!$Z131,"")</f>
        <v/>
      </c>
      <c r="U131" s="5" t="str">
        <f>IF('Jelenlét'!U131="Jövök :)",'Jelenlét'!$Z131,"")</f>
        <v/>
      </c>
      <c r="V131" s="5" t="str">
        <f>IF('Jelenlét'!V131="Jövök :)",'Jelenlét'!$Z131,"")</f>
        <v/>
      </c>
    </row>
    <row r="132">
      <c r="B132" s="5" t="str">
        <f>IF('Jelenlét'!B132="Jövök :)",'Jelenlét'!$Z132,"")</f>
        <v/>
      </c>
      <c r="C132" s="5" t="str">
        <f>IF('Jelenlét'!C132="Jövök :)",'Jelenlét'!$Z132,"")</f>
        <v/>
      </c>
      <c r="D132" s="5" t="str">
        <f>IF('Jelenlét'!D132="Jövök :)",'Jelenlét'!$Z132,"")</f>
        <v/>
      </c>
      <c r="E132" s="5" t="str">
        <f>IF('Jelenlét'!E132="Jövök :)",'Jelenlét'!$Z132,"")</f>
        <v/>
      </c>
      <c r="F132" s="5" t="str">
        <f>IF('Jelenlét'!F132="Jövök :)",'Jelenlét'!$Z132,"")</f>
        <v/>
      </c>
      <c r="G132" s="5" t="str">
        <f>IF('Jelenlét'!G132="Jövök :)",'Jelenlét'!$Z132,"")</f>
        <v/>
      </c>
      <c r="H132" s="5" t="str">
        <f>IF('Jelenlét'!H132="Jövök :)",'Jelenlét'!$Z132,"")</f>
        <v/>
      </c>
      <c r="I132" s="5" t="str">
        <f>IF('Jelenlét'!I132="Jövök :)",'Jelenlét'!$Z132,"")</f>
        <v/>
      </c>
      <c r="J132" s="5" t="str">
        <f>IF('Jelenlét'!J132="Jövök :)",'Jelenlét'!$Z132,"")</f>
        <v/>
      </c>
      <c r="K132" s="5" t="str">
        <f>IF('Jelenlét'!K132="Jövök :)",'Jelenlét'!$Z132,"")</f>
        <v/>
      </c>
      <c r="L132" s="5" t="str">
        <f>IF('Jelenlét'!L132="Jövök :)",'Jelenlét'!$Z132,"")</f>
        <v/>
      </c>
      <c r="M132" s="5" t="str">
        <f>IF('Jelenlét'!M132="Jövök :)",'Jelenlét'!$Z132,"")</f>
        <v/>
      </c>
      <c r="N132" s="5" t="str">
        <f>IF('Jelenlét'!N132="Jövök :)",'Jelenlét'!$Z132,"")</f>
        <v/>
      </c>
      <c r="O132" s="5" t="str">
        <f>IF('Jelenlét'!O132="Jövök :)",'Jelenlét'!$Z132,"")</f>
        <v/>
      </c>
      <c r="P132" s="5" t="str">
        <f>IF('Jelenlét'!P132="Jövök :)",'Jelenlét'!$Z132,"")</f>
        <v/>
      </c>
      <c r="Q132" s="5" t="str">
        <f>IF('Jelenlét'!Q132="Jövök :)",'Jelenlét'!$Z132,"")</f>
        <v/>
      </c>
      <c r="R132" s="5" t="str">
        <f>IF('Jelenlét'!R132="Jövök :)",'Jelenlét'!$Z132,"")</f>
        <v/>
      </c>
      <c r="S132" s="5" t="str">
        <f>IF('Jelenlét'!S132="Jövök :)",'Jelenlét'!$Z132,"")</f>
        <v/>
      </c>
      <c r="T132" s="5" t="str">
        <f>IF('Jelenlét'!T132="Jövök :)",'Jelenlét'!$Z132,"")</f>
        <v/>
      </c>
      <c r="U132" s="5" t="str">
        <f>IF('Jelenlét'!U132="Jövök :)",'Jelenlét'!$Z132,"")</f>
        <v/>
      </c>
      <c r="V132" s="5" t="str">
        <f>IF('Jelenlét'!V132="Jövök :)",'Jelenlét'!$Z132,"")</f>
        <v/>
      </c>
    </row>
    <row r="133">
      <c r="B133" s="5" t="str">
        <f>IF('Jelenlét'!B133="Jövök :)",'Jelenlét'!$Z133,"")</f>
        <v/>
      </c>
      <c r="C133" s="5" t="str">
        <f>IF('Jelenlét'!C133="Jövök :)",'Jelenlét'!$Z133,"")</f>
        <v/>
      </c>
      <c r="D133" s="5" t="str">
        <f>IF('Jelenlét'!D133="Jövök :)",'Jelenlét'!$Z133,"")</f>
        <v/>
      </c>
      <c r="E133" s="5" t="str">
        <f>IF('Jelenlét'!E133="Jövök :)",'Jelenlét'!$Z133,"")</f>
        <v/>
      </c>
      <c r="F133" s="5" t="str">
        <f>IF('Jelenlét'!F133="Jövök :)",'Jelenlét'!$Z133,"")</f>
        <v/>
      </c>
      <c r="G133" s="5" t="str">
        <f>IF('Jelenlét'!G133="Jövök :)",'Jelenlét'!$Z133,"")</f>
        <v/>
      </c>
      <c r="H133" s="5" t="str">
        <f>IF('Jelenlét'!H133="Jövök :)",'Jelenlét'!$Z133,"")</f>
        <v/>
      </c>
      <c r="I133" s="5" t="str">
        <f>IF('Jelenlét'!I133="Jövök :)",'Jelenlét'!$Z133,"")</f>
        <v/>
      </c>
      <c r="J133" s="5" t="str">
        <f>IF('Jelenlét'!J133="Jövök :)",'Jelenlét'!$Z133,"")</f>
        <v/>
      </c>
      <c r="K133" s="5" t="str">
        <f>IF('Jelenlét'!K133="Jövök :)",'Jelenlét'!$Z133,"")</f>
        <v/>
      </c>
      <c r="L133" s="5" t="str">
        <f>IF('Jelenlét'!L133="Jövök :)",'Jelenlét'!$Z133,"")</f>
        <v/>
      </c>
      <c r="M133" s="5" t="str">
        <f>IF('Jelenlét'!M133="Jövök :)",'Jelenlét'!$Z133,"")</f>
        <v/>
      </c>
      <c r="N133" s="5" t="str">
        <f>IF('Jelenlét'!N133="Jövök :)",'Jelenlét'!$Z133,"")</f>
        <v/>
      </c>
      <c r="O133" s="5" t="str">
        <f>IF('Jelenlét'!O133="Jövök :)",'Jelenlét'!$Z133,"")</f>
        <v/>
      </c>
      <c r="P133" s="5" t="str">
        <f>IF('Jelenlét'!P133="Jövök :)",'Jelenlét'!$Z133,"")</f>
        <v/>
      </c>
      <c r="Q133" s="5" t="str">
        <f>IF('Jelenlét'!Q133="Jövök :)",'Jelenlét'!$Z133,"")</f>
        <v/>
      </c>
      <c r="R133" s="5" t="str">
        <f>IF('Jelenlét'!R133="Jövök :)",'Jelenlét'!$Z133,"")</f>
        <v/>
      </c>
      <c r="S133" s="5" t="str">
        <f>IF('Jelenlét'!S133="Jövök :)",'Jelenlét'!$Z133,"")</f>
        <v/>
      </c>
      <c r="T133" s="5" t="str">
        <f>IF('Jelenlét'!T133="Jövök :)",'Jelenlét'!$Z133,"")</f>
        <v/>
      </c>
      <c r="U133" s="5" t="str">
        <f>IF('Jelenlét'!U133="Jövök :)",'Jelenlét'!$Z133,"")</f>
        <v/>
      </c>
      <c r="V133" s="5" t="str">
        <f>IF('Jelenlét'!V133="Jövök :)",'Jelenlét'!$Z133,"")</f>
        <v/>
      </c>
    </row>
    <row r="134">
      <c r="B134" s="5" t="str">
        <f>IF('Jelenlét'!B134="Jövök :)",'Jelenlét'!$Z134,"")</f>
        <v/>
      </c>
      <c r="C134" s="5" t="str">
        <f>IF('Jelenlét'!C134="Jövök :)",'Jelenlét'!$Z134,"")</f>
        <v/>
      </c>
      <c r="D134" s="5" t="str">
        <f>IF('Jelenlét'!D134="Jövök :)",'Jelenlét'!$Z134,"")</f>
        <v/>
      </c>
      <c r="E134" s="5" t="str">
        <f>IF('Jelenlét'!E134="Jövök :)",'Jelenlét'!$Z134,"")</f>
        <v/>
      </c>
      <c r="F134" s="5" t="str">
        <f>IF('Jelenlét'!F134="Jövök :)",'Jelenlét'!$Z134,"")</f>
        <v/>
      </c>
      <c r="G134" s="5" t="str">
        <f>IF('Jelenlét'!G134="Jövök :)",'Jelenlét'!$Z134,"")</f>
        <v/>
      </c>
      <c r="H134" s="5" t="str">
        <f>IF('Jelenlét'!H134="Jövök :)",'Jelenlét'!$Z134,"")</f>
        <v/>
      </c>
      <c r="I134" s="5" t="str">
        <f>IF('Jelenlét'!I134="Jövök :)",'Jelenlét'!$Z134,"")</f>
        <v/>
      </c>
      <c r="J134" s="5" t="str">
        <f>IF('Jelenlét'!J134="Jövök :)",'Jelenlét'!$Z134,"")</f>
        <v/>
      </c>
      <c r="K134" s="5" t="str">
        <f>IF('Jelenlét'!K134="Jövök :)",'Jelenlét'!$Z134,"")</f>
        <v/>
      </c>
      <c r="L134" s="5" t="str">
        <f>IF('Jelenlét'!L134="Jövök :)",'Jelenlét'!$Z134,"")</f>
        <v/>
      </c>
      <c r="M134" s="5" t="str">
        <f>IF('Jelenlét'!M134="Jövök :)",'Jelenlét'!$Z134,"")</f>
        <v/>
      </c>
      <c r="N134" s="5" t="str">
        <f>IF('Jelenlét'!N134="Jövök :)",'Jelenlét'!$Z134,"")</f>
        <v/>
      </c>
      <c r="O134" s="5" t="str">
        <f>IF('Jelenlét'!O134="Jövök :)",'Jelenlét'!$Z134,"")</f>
        <v/>
      </c>
      <c r="P134" s="5" t="str">
        <f>IF('Jelenlét'!P134="Jövök :)",'Jelenlét'!$Z134,"")</f>
        <v/>
      </c>
      <c r="Q134" s="5" t="str">
        <f>IF('Jelenlét'!Q134="Jövök :)",'Jelenlét'!$Z134,"")</f>
        <v/>
      </c>
      <c r="R134" s="5" t="str">
        <f>IF('Jelenlét'!R134="Jövök :)",'Jelenlét'!$Z134,"")</f>
        <v/>
      </c>
      <c r="S134" s="5" t="str">
        <f>IF('Jelenlét'!S134="Jövök :)",'Jelenlét'!$Z134,"")</f>
        <v/>
      </c>
      <c r="T134" s="5" t="str">
        <f>IF('Jelenlét'!T134="Jövök :)",'Jelenlét'!$Z134,"")</f>
        <v/>
      </c>
      <c r="U134" s="5" t="str">
        <f>IF('Jelenlét'!U134="Jövök :)",'Jelenlét'!$Z134,"")</f>
        <v/>
      </c>
      <c r="V134" s="5" t="str">
        <f>IF('Jelenlét'!V134="Jövök :)",'Jelenlét'!$Z134,"")</f>
        <v/>
      </c>
    </row>
    <row r="135">
      <c r="B135" s="5" t="str">
        <f>IF('Jelenlét'!B135="Jövök :)",'Jelenlét'!$Z135,"")</f>
        <v/>
      </c>
      <c r="C135" s="5" t="str">
        <f>IF('Jelenlét'!C135="Jövök :)",'Jelenlét'!$Z135,"")</f>
        <v/>
      </c>
      <c r="D135" s="5" t="str">
        <f>IF('Jelenlét'!D135="Jövök :)",'Jelenlét'!$Z135,"")</f>
        <v/>
      </c>
      <c r="E135" s="5" t="str">
        <f>IF('Jelenlét'!E135="Jövök :)",'Jelenlét'!$Z135,"")</f>
        <v/>
      </c>
      <c r="F135" s="5" t="str">
        <f>IF('Jelenlét'!F135="Jövök :)",'Jelenlét'!$Z135,"")</f>
        <v/>
      </c>
      <c r="G135" s="5" t="str">
        <f>IF('Jelenlét'!G135="Jövök :)",'Jelenlét'!$Z135,"")</f>
        <v/>
      </c>
      <c r="H135" s="5" t="str">
        <f>IF('Jelenlét'!H135="Jövök :)",'Jelenlét'!$Z135,"")</f>
        <v/>
      </c>
      <c r="I135" s="5" t="str">
        <f>IF('Jelenlét'!I135="Jövök :)",'Jelenlét'!$Z135,"")</f>
        <v/>
      </c>
      <c r="J135" s="5" t="str">
        <f>IF('Jelenlét'!J135="Jövök :)",'Jelenlét'!$Z135,"")</f>
        <v/>
      </c>
      <c r="K135" s="5" t="str">
        <f>IF('Jelenlét'!K135="Jövök :)",'Jelenlét'!$Z135,"")</f>
        <v/>
      </c>
      <c r="L135" s="5" t="str">
        <f>IF('Jelenlét'!L135="Jövök :)",'Jelenlét'!$Z135,"")</f>
        <v/>
      </c>
      <c r="M135" s="5" t="str">
        <f>IF('Jelenlét'!M135="Jövök :)",'Jelenlét'!$Z135,"")</f>
        <v/>
      </c>
      <c r="N135" s="5" t="str">
        <f>IF('Jelenlét'!N135="Jövök :)",'Jelenlét'!$Z135,"")</f>
        <v/>
      </c>
      <c r="O135" s="5" t="str">
        <f>IF('Jelenlét'!O135="Jövök :)",'Jelenlét'!$Z135,"")</f>
        <v/>
      </c>
      <c r="P135" s="5" t="str">
        <f>IF('Jelenlét'!P135="Jövök :)",'Jelenlét'!$Z135,"")</f>
        <v/>
      </c>
      <c r="Q135" s="5" t="str">
        <f>IF('Jelenlét'!Q135="Jövök :)",'Jelenlét'!$Z135,"")</f>
        <v/>
      </c>
      <c r="R135" s="5" t="str">
        <f>IF('Jelenlét'!R135="Jövök :)",'Jelenlét'!$Z135,"")</f>
        <v/>
      </c>
      <c r="S135" s="5" t="str">
        <f>IF('Jelenlét'!S135="Jövök :)",'Jelenlét'!$Z135,"")</f>
        <v/>
      </c>
      <c r="T135" s="5" t="str">
        <f>IF('Jelenlét'!T135="Jövök :)",'Jelenlét'!$Z135,"")</f>
        <v/>
      </c>
      <c r="U135" s="5" t="str">
        <f>IF('Jelenlét'!U135="Jövök :)",'Jelenlét'!$Z135,"")</f>
        <v/>
      </c>
      <c r="V135" s="5" t="str">
        <f>IF('Jelenlét'!V135="Jövök :)",'Jelenlét'!$Z135,"")</f>
        <v/>
      </c>
    </row>
    <row r="136">
      <c r="B136" s="5" t="str">
        <f>IF('Jelenlét'!B136="Jövök :)",'Jelenlét'!$Z136,"")</f>
        <v/>
      </c>
      <c r="C136" s="5" t="str">
        <f>IF('Jelenlét'!C136="Jövök :)",'Jelenlét'!$Z136,"")</f>
        <v/>
      </c>
      <c r="D136" s="5" t="str">
        <f>IF('Jelenlét'!D136="Jövök :)",'Jelenlét'!$Z136,"")</f>
        <v/>
      </c>
      <c r="E136" s="5" t="str">
        <f>IF('Jelenlét'!E136="Jövök :)",'Jelenlét'!$Z136,"")</f>
        <v/>
      </c>
      <c r="F136" s="5" t="str">
        <f>IF('Jelenlét'!F136="Jövök :)",'Jelenlét'!$Z136,"")</f>
        <v/>
      </c>
      <c r="G136" s="5" t="str">
        <f>IF('Jelenlét'!G136="Jövök :)",'Jelenlét'!$Z136,"")</f>
        <v/>
      </c>
      <c r="H136" s="5" t="str">
        <f>IF('Jelenlét'!H136="Jövök :)",'Jelenlét'!$Z136,"")</f>
        <v/>
      </c>
      <c r="I136" s="5" t="str">
        <f>IF('Jelenlét'!I136="Jövök :)",'Jelenlét'!$Z136,"")</f>
        <v/>
      </c>
      <c r="J136" s="5" t="str">
        <f>IF('Jelenlét'!J136="Jövök :)",'Jelenlét'!$Z136,"")</f>
        <v/>
      </c>
      <c r="K136" s="5" t="str">
        <f>IF('Jelenlét'!K136="Jövök :)",'Jelenlét'!$Z136,"")</f>
        <v/>
      </c>
      <c r="L136" s="5" t="str">
        <f>IF('Jelenlét'!L136="Jövök :)",'Jelenlét'!$Z136,"")</f>
        <v/>
      </c>
      <c r="M136" s="5" t="str">
        <f>IF('Jelenlét'!M136="Jövök :)",'Jelenlét'!$Z136,"")</f>
        <v/>
      </c>
      <c r="N136" s="5" t="str">
        <f>IF('Jelenlét'!N136="Jövök :)",'Jelenlét'!$Z136,"")</f>
        <v/>
      </c>
      <c r="O136" s="5" t="str">
        <f>IF('Jelenlét'!O136="Jövök :)",'Jelenlét'!$Z136,"")</f>
        <v/>
      </c>
      <c r="P136" s="5" t="str">
        <f>IF('Jelenlét'!P136="Jövök :)",'Jelenlét'!$Z136,"")</f>
        <v/>
      </c>
      <c r="Q136" s="5" t="str">
        <f>IF('Jelenlét'!Q136="Jövök :)",'Jelenlét'!$Z136,"")</f>
        <v/>
      </c>
      <c r="R136" s="5" t="str">
        <f>IF('Jelenlét'!R136="Jövök :)",'Jelenlét'!$Z136,"")</f>
        <v/>
      </c>
      <c r="S136" s="5" t="str">
        <f>IF('Jelenlét'!S136="Jövök :)",'Jelenlét'!$Z136,"")</f>
        <v/>
      </c>
      <c r="T136" s="5" t="str">
        <f>IF('Jelenlét'!T136="Jövök :)",'Jelenlét'!$Z136,"")</f>
        <v/>
      </c>
      <c r="U136" s="5" t="str">
        <f>IF('Jelenlét'!U136="Jövök :)",'Jelenlét'!$Z136,"")</f>
        <v/>
      </c>
      <c r="V136" s="5" t="str">
        <f>IF('Jelenlét'!V136="Jövök :)",'Jelenlét'!$Z136,"")</f>
        <v/>
      </c>
    </row>
    <row r="137">
      <c r="B137" s="5" t="str">
        <f>IF('Jelenlét'!B137="Jövök :)",'Jelenlét'!$Z137,"")</f>
        <v/>
      </c>
      <c r="C137" s="5" t="str">
        <f>IF('Jelenlét'!C137="Jövök :)",'Jelenlét'!$Z137,"")</f>
        <v/>
      </c>
      <c r="D137" s="5" t="str">
        <f>IF('Jelenlét'!D137="Jövök :)",'Jelenlét'!$Z137,"")</f>
        <v/>
      </c>
      <c r="E137" s="5" t="str">
        <f>IF('Jelenlét'!E137="Jövök :)",'Jelenlét'!$Z137,"")</f>
        <v/>
      </c>
      <c r="F137" s="5" t="str">
        <f>IF('Jelenlét'!F137="Jövök :)",'Jelenlét'!$Z137,"")</f>
        <v/>
      </c>
      <c r="G137" s="5" t="str">
        <f>IF('Jelenlét'!G137="Jövök :)",'Jelenlét'!$Z137,"")</f>
        <v/>
      </c>
      <c r="H137" s="5" t="str">
        <f>IF('Jelenlét'!H137="Jövök :)",'Jelenlét'!$Z137,"")</f>
        <v/>
      </c>
      <c r="I137" s="5" t="str">
        <f>IF('Jelenlét'!I137="Jövök :)",'Jelenlét'!$Z137,"")</f>
        <v/>
      </c>
      <c r="J137" s="5" t="str">
        <f>IF('Jelenlét'!J137="Jövök :)",'Jelenlét'!$Z137,"")</f>
        <v/>
      </c>
      <c r="K137" s="5" t="str">
        <f>IF('Jelenlét'!K137="Jövök :)",'Jelenlét'!$Z137,"")</f>
        <v/>
      </c>
      <c r="L137" s="5" t="str">
        <f>IF('Jelenlét'!L137="Jövök :)",'Jelenlét'!$Z137,"")</f>
        <v/>
      </c>
      <c r="M137" s="5" t="str">
        <f>IF('Jelenlét'!M137="Jövök :)",'Jelenlét'!$Z137,"")</f>
        <v/>
      </c>
      <c r="N137" s="5" t="str">
        <f>IF('Jelenlét'!N137="Jövök :)",'Jelenlét'!$Z137,"")</f>
        <v/>
      </c>
      <c r="O137" s="5" t="str">
        <f>IF('Jelenlét'!O137="Jövök :)",'Jelenlét'!$Z137,"")</f>
        <v/>
      </c>
      <c r="P137" s="5" t="str">
        <f>IF('Jelenlét'!P137="Jövök :)",'Jelenlét'!$Z137,"")</f>
        <v/>
      </c>
      <c r="Q137" s="5" t="str">
        <f>IF('Jelenlét'!Q137="Jövök :)",'Jelenlét'!$Z137,"")</f>
        <v/>
      </c>
      <c r="R137" s="5" t="str">
        <f>IF('Jelenlét'!R137="Jövök :)",'Jelenlét'!$Z137,"")</f>
        <v/>
      </c>
      <c r="S137" s="5" t="str">
        <f>IF('Jelenlét'!S137="Jövök :)",'Jelenlét'!$Z137,"")</f>
        <v/>
      </c>
      <c r="T137" s="5" t="str">
        <f>IF('Jelenlét'!T137="Jövök :)",'Jelenlét'!$Z137,"")</f>
        <v/>
      </c>
      <c r="U137" s="5" t="str">
        <f>IF('Jelenlét'!U137="Jövök :)",'Jelenlét'!$Z137,"")</f>
        <v/>
      </c>
      <c r="V137" s="5" t="str">
        <f>IF('Jelenlét'!V137="Jövök :)",'Jelenlét'!$Z137,"")</f>
        <v/>
      </c>
    </row>
    <row r="138">
      <c r="B138" s="5" t="str">
        <f>IF('Jelenlét'!B138="Jövök :)",'Jelenlét'!$Z138,"")</f>
        <v/>
      </c>
      <c r="C138" s="5" t="str">
        <f>IF('Jelenlét'!C138="Jövök :)",'Jelenlét'!$Z138,"")</f>
        <v/>
      </c>
      <c r="D138" s="5" t="str">
        <f>IF('Jelenlét'!D138="Jövök :)",'Jelenlét'!$Z138,"")</f>
        <v/>
      </c>
      <c r="E138" s="5" t="str">
        <f>IF('Jelenlét'!E138="Jövök :)",'Jelenlét'!$Z138,"")</f>
        <v/>
      </c>
      <c r="F138" s="5" t="str">
        <f>IF('Jelenlét'!F138="Jövök :)",'Jelenlét'!$Z138,"")</f>
        <v/>
      </c>
      <c r="G138" s="5" t="str">
        <f>IF('Jelenlét'!G138="Jövök :)",'Jelenlét'!$Z138,"")</f>
        <v/>
      </c>
      <c r="H138" s="5" t="str">
        <f>IF('Jelenlét'!H138="Jövök :)",'Jelenlét'!$Z138,"")</f>
        <v/>
      </c>
      <c r="I138" s="5" t="str">
        <f>IF('Jelenlét'!I138="Jövök :)",'Jelenlét'!$Z138,"")</f>
        <v/>
      </c>
      <c r="J138" s="5" t="str">
        <f>IF('Jelenlét'!J138="Jövök :)",'Jelenlét'!$Z138,"")</f>
        <v/>
      </c>
      <c r="K138" s="5" t="str">
        <f>IF('Jelenlét'!K138="Jövök :)",'Jelenlét'!$Z138,"")</f>
        <v/>
      </c>
      <c r="L138" s="5" t="str">
        <f>IF('Jelenlét'!L138="Jövök :)",'Jelenlét'!$Z138,"")</f>
        <v/>
      </c>
      <c r="M138" s="5" t="str">
        <f>IF('Jelenlét'!M138="Jövök :)",'Jelenlét'!$Z138,"")</f>
        <v/>
      </c>
      <c r="N138" s="5" t="str">
        <f>IF('Jelenlét'!N138="Jövök :)",'Jelenlét'!$Z138,"")</f>
        <v/>
      </c>
      <c r="O138" s="5" t="str">
        <f>IF('Jelenlét'!O138="Jövök :)",'Jelenlét'!$Z138,"")</f>
        <v/>
      </c>
      <c r="P138" s="5" t="str">
        <f>IF('Jelenlét'!P138="Jövök :)",'Jelenlét'!$Z138,"")</f>
        <v/>
      </c>
      <c r="Q138" s="5" t="str">
        <f>IF('Jelenlét'!Q138="Jövök :)",'Jelenlét'!$Z138,"")</f>
        <v/>
      </c>
      <c r="R138" s="5" t="str">
        <f>IF('Jelenlét'!R138="Jövök :)",'Jelenlét'!$Z138,"")</f>
        <v/>
      </c>
      <c r="S138" s="5" t="str">
        <f>IF('Jelenlét'!S138="Jövök :)",'Jelenlét'!$Z138,"")</f>
        <v/>
      </c>
      <c r="T138" s="5" t="str">
        <f>IF('Jelenlét'!T138="Jövök :)",'Jelenlét'!$Z138,"")</f>
        <v/>
      </c>
      <c r="U138" s="5" t="str">
        <f>IF('Jelenlét'!U138="Jövök :)",'Jelenlét'!$Z138,"")</f>
        <v/>
      </c>
      <c r="V138" s="5" t="str">
        <f>IF('Jelenlét'!V138="Jövök :)",'Jelenlét'!$Z138,"")</f>
        <v/>
      </c>
    </row>
    <row r="139">
      <c r="B139" s="5" t="str">
        <f>IF('Jelenlét'!B139="Jövök :)",'Jelenlét'!$Z139,"")</f>
        <v/>
      </c>
      <c r="C139" s="5" t="str">
        <f>IF('Jelenlét'!C139="Jövök :)",'Jelenlét'!$Z139,"")</f>
        <v/>
      </c>
      <c r="D139" s="5" t="str">
        <f>IF('Jelenlét'!D139="Jövök :)",'Jelenlét'!$Z139,"")</f>
        <v/>
      </c>
      <c r="E139" s="5" t="str">
        <f>IF('Jelenlét'!E139="Jövök :)",'Jelenlét'!$Z139,"")</f>
        <v/>
      </c>
      <c r="F139" s="5" t="str">
        <f>IF('Jelenlét'!F139="Jövök :)",'Jelenlét'!$Z139,"")</f>
        <v/>
      </c>
      <c r="G139" s="5" t="str">
        <f>IF('Jelenlét'!G139="Jövök :)",'Jelenlét'!$Z139,"")</f>
        <v/>
      </c>
      <c r="H139" s="5" t="str">
        <f>IF('Jelenlét'!H139="Jövök :)",'Jelenlét'!$Z139,"")</f>
        <v/>
      </c>
      <c r="I139" s="5" t="str">
        <f>IF('Jelenlét'!I139="Jövök :)",'Jelenlét'!$Z139,"")</f>
        <v/>
      </c>
      <c r="J139" s="5" t="str">
        <f>IF('Jelenlét'!J139="Jövök :)",'Jelenlét'!$Z139,"")</f>
        <v/>
      </c>
      <c r="K139" s="5" t="str">
        <f>IF('Jelenlét'!K139="Jövök :)",'Jelenlét'!$Z139,"")</f>
        <v/>
      </c>
      <c r="L139" s="5" t="str">
        <f>IF('Jelenlét'!L139="Jövök :)",'Jelenlét'!$Z139,"")</f>
        <v/>
      </c>
      <c r="M139" s="5" t="str">
        <f>IF('Jelenlét'!M139="Jövök :)",'Jelenlét'!$Z139,"")</f>
        <v/>
      </c>
      <c r="N139" s="5" t="str">
        <f>IF('Jelenlét'!N139="Jövök :)",'Jelenlét'!$Z139,"")</f>
        <v/>
      </c>
      <c r="O139" s="5" t="str">
        <f>IF('Jelenlét'!O139="Jövök :)",'Jelenlét'!$Z139,"")</f>
        <v/>
      </c>
      <c r="P139" s="5" t="str">
        <f>IF('Jelenlét'!P139="Jövök :)",'Jelenlét'!$Z139,"")</f>
        <v/>
      </c>
      <c r="Q139" s="5" t="str">
        <f>IF('Jelenlét'!Q139="Jövök :)",'Jelenlét'!$Z139,"")</f>
        <v/>
      </c>
      <c r="R139" s="5" t="str">
        <f>IF('Jelenlét'!R139="Jövök :)",'Jelenlét'!$Z139,"")</f>
        <v/>
      </c>
      <c r="S139" s="5" t="str">
        <f>IF('Jelenlét'!S139="Jövök :)",'Jelenlét'!$Z139,"")</f>
        <v/>
      </c>
      <c r="T139" s="5" t="str">
        <f>IF('Jelenlét'!T139="Jövök :)",'Jelenlét'!$Z139,"")</f>
        <v/>
      </c>
      <c r="U139" s="5" t="str">
        <f>IF('Jelenlét'!U139="Jövök :)",'Jelenlét'!$Z139,"")</f>
        <v/>
      </c>
      <c r="V139" s="5" t="str">
        <f>IF('Jelenlét'!V139="Jövök :)",'Jelenlét'!$Z139,"")</f>
        <v/>
      </c>
    </row>
    <row r="140">
      <c r="B140" s="5" t="str">
        <f>IF('Jelenlét'!B140="Jövök :)",'Jelenlét'!$Z140,"")</f>
        <v/>
      </c>
      <c r="C140" s="5" t="str">
        <f>IF('Jelenlét'!C140="Jövök :)",'Jelenlét'!$Z140,"")</f>
        <v/>
      </c>
      <c r="D140" s="5" t="str">
        <f>IF('Jelenlét'!D140="Jövök :)",'Jelenlét'!$Z140,"")</f>
        <v/>
      </c>
      <c r="E140" s="5" t="str">
        <f>IF('Jelenlét'!E140="Jövök :)",'Jelenlét'!$Z140,"")</f>
        <v/>
      </c>
      <c r="F140" s="5" t="str">
        <f>IF('Jelenlét'!F140="Jövök :)",'Jelenlét'!$Z140,"")</f>
        <v/>
      </c>
      <c r="G140" s="5" t="str">
        <f>IF('Jelenlét'!G140="Jövök :)",'Jelenlét'!$Z140,"")</f>
        <v/>
      </c>
      <c r="H140" s="5" t="str">
        <f>IF('Jelenlét'!H140="Jövök :)",'Jelenlét'!$Z140,"")</f>
        <v/>
      </c>
      <c r="I140" s="5" t="str">
        <f>IF('Jelenlét'!I140="Jövök :)",'Jelenlét'!$Z140,"")</f>
        <v/>
      </c>
      <c r="J140" s="5" t="str">
        <f>IF('Jelenlét'!J140="Jövök :)",'Jelenlét'!$Z140,"")</f>
        <v/>
      </c>
      <c r="K140" s="5" t="str">
        <f>IF('Jelenlét'!K140="Jövök :)",'Jelenlét'!$Z140,"")</f>
        <v/>
      </c>
      <c r="L140" s="5" t="str">
        <f>IF('Jelenlét'!L140="Jövök :)",'Jelenlét'!$Z140,"")</f>
        <v/>
      </c>
      <c r="M140" s="5" t="str">
        <f>IF('Jelenlét'!M140="Jövök :)",'Jelenlét'!$Z140,"")</f>
        <v/>
      </c>
      <c r="N140" s="5" t="str">
        <f>IF('Jelenlét'!N140="Jövök :)",'Jelenlét'!$Z140,"")</f>
        <v/>
      </c>
      <c r="O140" s="5" t="str">
        <f>IF('Jelenlét'!O140="Jövök :)",'Jelenlét'!$Z140,"")</f>
        <v/>
      </c>
      <c r="P140" s="5" t="str">
        <f>IF('Jelenlét'!P140="Jövök :)",'Jelenlét'!$Z140,"")</f>
        <v/>
      </c>
      <c r="Q140" s="5" t="str">
        <f>IF('Jelenlét'!Q140="Jövök :)",'Jelenlét'!$Z140,"")</f>
        <v/>
      </c>
      <c r="R140" s="5" t="str">
        <f>IF('Jelenlét'!R140="Jövök :)",'Jelenlét'!$Z140,"")</f>
        <v/>
      </c>
      <c r="S140" s="5" t="str">
        <f>IF('Jelenlét'!S140="Jövök :)",'Jelenlét'!$Z140,"")</f>
        <v/>
      </c>
      <c r="T140" s="5" t="str">
        <f>IF('Jelenlét'!T140="Jövök :)",'Jelenlét'!$Z140,"")</f>
        <v/>
      </c>
      <c r="U140" s="5" t="str">
        <f>IF('Jelenlét'!U140="Jövök :)",'Jelenlét'!$Z140,"")</f>
        <v/>
      </c>
      <c r="V140" s="5" t="str">
        <f>IF('Jelenlét'!V140="Jövök :)",'Jelenlét'!$Z140,"")</f>
        <v/>
      </c>
    </row>
    <row r="141">
      <c r="B141" s="5" t="str">
        <f>IF('Jelenlét'!B141="Jövök :)",'Jelenlét'!$Z141,"")</f>
        <v/>
      </c>
      <c r="C141" s="5" t="str">
        <f>IF('Jelenlét'!C141="Jövök :)",'Jelenlét'!$Z141,"")</f>
        <v/>
      </c>
      <c r="D141" s="5" t="str">
        <f>IF('Jelenlét'!D141="Jövök :)",'Jelenlét'!$Z141,"")</f>
        <v/>
      </c>
      <c r="E141" s="5" t="str">
        <f>IF('Jelenlét'!E141="Jövök :)",'Jelenlét'!$Z141,"")</f>
        <v/>
      </c>
      <c r="F141" s="5" t="str">
        <f>IF('Jelenlét'!F141="Jövök :)",'Jelenlét'!$Z141,"")</f>
        <v/>
      </c>
      <c r="G141" s="5" t="str">
        <f>IF('Jelenlét'!G141="Jövök :)",'Jelenlét'!$Z141,"")</f>
        <v/>
      </c>
      <c r="H141" s="5" t="str">
        <f>IF('Jelenlét'!H141="Jövök :)",'Jelenlét'!$Z141,"")</f>
        <v/>
      </c>
      <c r="I141" s="5" t="str">
        <f>IF('Jelenlét'!I141="Jövök :)",'Jelenlét'!$Z141,"")</f>
        <v/>
      </c>
      <c r="J141" s="5" t="str">
        <f>IF('Jelenlét'!J141="Jövök :)",'Jelenlét'!$Z141,"")</f>
        <v/>
      </c>
      <c r="K141" s="5" t="str">
        <f>IF('Jelenlét'!K141="Jövök :)",'Jelenlét'!$Z141,"")</f>
        <v/>
      </c>
      <c r="L141" s="5" t="str">
        <f>IF('Jelenlét'!L141="Jövök :)",'Jelenlét'!$Z141,"")</f>
        <v/>
      </c>
      <c r="M141" s="5" t="str">
        <f>IF('Jelenlét'!M141="Jövök :)",'Jelenlét'!$Z141,"")</f>
        <v/>
      </c>
      <c r="N141" s="5" t="str">
        <f>IF('Jelenlét'!N141="Jövök :)",'Jelenlét'!$Z141,"")</f>
        <v/>
      </c>
      <c r="O141" s="5" t="str">
        <f>IF('Jelenlét'!O141="Jövök :)",'Jelenlét'!$Z141,"")</f>
        <v/>
      </c>
      <c r="P141" s="5" t="str">
        <f>IF('Jelenlét'!P141="Jövök :)",'Jelenlét'!$Z141,"")</f>
        <v/>
      </c>
      <c r="Q141" s="5" t="str">
        <f>IF('Jelenlét'!Q141="Jövök :)",'Jelenlét'!$Z141,"")</f>
        <v/>
      </c>
      <c r="R141" s="5" t="str">
        <f>IF('Jelenlét'!R141="Jövök :)",'Jelenlét'!$Z141,"")</f>
        <v/>
      </c>
      <c r="S141" s="5" t="str">
        <f>IF('Jelenlét'!S141="Jövök :)",'Jelenlét'!$Z141,"")</f>
        <v/>
      </c>
      <c r="T141" s="5" t="str">
        <f>IF('Jelenlét'!T141="Jövök :)",'Jelenlét'!$Z141,"")</f>
        <v/>
      </c>
      <c r="U141" s="5" t="str">
        <f>IF('Jelenlét'!U141="Jövök :)",'Jelenlét'!$Z141,"")</f>
        <v/>
      </c>
      <c r="V141" s="5" t="str">
        <f>IF('Jelenlét'!V141="Jövök :)",'Jelenlét'!$Z141,"")</f>
        <v/>
      </c>
    </row>
    <row r="142">
      <c r="B142" s="5" t="str">
        <f>IF('Jelenlét'!B142="Jövök :)",'Jelenlét'!$Z142,"")</f>
        <v/>
      </c>
      <c r="C142" s="5" t="str">
        <f>IF('Jelenlét'!C142="Jövök :)",'Jelenlét'!$Z142,"")</f>
        <v/>
      </c>
      <c r="D142" s="5" t="str">
        <f>IF('Jelenlét'!D142="Jövök :)",'Jelenlét'!$Z142,"")</f>
        <v/>
      </c>
      <c r="E142" s="5" t="str">
        <f>IF('Jelenlét'!E142="Jövök :)",'Jelenlét'!$Z142,"")</f>
        <v/>
      </c>
      <c r="F142" s="5" t="str">
        <f>IF('Jelenlét'!F142="Jövök :)",'Jelenlét'!$Z142,"")</f>
        <v/>
      </c>
      <c r="G142" s="5" t="str">
        <f>IF('Jelenlét'!G142="Jövök :)",'Jelenlét'!$Z142,"")</f>
        <v/>
      </c>
      <c r="H142" s="5" t="str">
        <f>IF('Jelenlét'!H142="Jövök :)",'Jelenlét'!$Z142,"")</f>
        <v/>
      </c>
      <c r="I142" s="5" t="str">
        <f>IF('Jelenlét'!I142="Jövök :)",'Jelenlét'!$Z142,"")</f>
        <v/>
      </c>
      <c r="J142" s="5" t="str">
        <f>IF('Jelenlét'!J142="Jövök :)",'Jelenlét'!$Z142,"")</f>
        <v/>
      </c>
      <c r="K142" s="5" t="str">
        <f>IF('Jelenlét'!K142="Jövök :)",'Jelenlét'!$Z142,"")</f>
        <v/>
      </c>
      <c r="L142" s="5" t="str">
        <f>IF('Jelenlét'!L142="Jövök :)",'Jelenlét'!$Z142,"")</f>
        <v/>
      </c>
      <c r="M142" s="5" t="str">
        <f>IF('Jelenlét'!M142="Jövök :)",'Jelenlét'!$Z142,"")</f>
        <v/>
      </c>
      <c r="N142" s="5" t="str">
        <f>IF('Jelenlét'!N142="Jövök :)",'Jelenlét'!$Z142,"")</f>
        <v/>
      </c>
      <c r="O142" s="5" t="str">
        <f>IF('Jelenlét'!O142="Jövök :)",'Jelenlét'!$Z142,"")</f>
        <v/>
      </c>
      <c r="P142" s="5" t="str">
        <f>IF('Jelenlét'!P142="Jövök :)",'Jelenlét'!$Z142,"")</f>
        <v/>
      </c>
      <c r="Q142" s="5" t="str">
        <f>IF('Jelenlét'!Q142="Jövök :)",'Jelenlét'!$Z142,"")</f>
        <v/>
      </c>
      <c r="R142" s="5" t="str">
        <f>IF('Jelenlét'!R142="Jövök :)",'Jelenlét'!$Z142,"")</f>
        <v/>
      </c>
      <c r="S142" s="5" t="str">
        <f>IF('Jelenlét'!S142="Jövök :)",'Jelenlét'!$Z142,"")</f>
        <v/>
      </c>
      <c r="T142" s="5" t="str">
        <f>IF('Jelenlét'!T142="Jövök :)",'Jelenlét'!$Z142,"")</f>
        <v/>
      </c>
      <c r="U142" s="5" t="str">
        <f>IF('Jelenlét'!U142="Jövök :)",'Jelenlét'!$Z142,"")</f>
        <v/>
      </c>
      <c r="V142" s="5" t="str">
        <f>IF('Jelenlét'!V142="Jövök :)",'Jelenlét'!$Z142,"")</f>
        <v/>
      </c>
    </row>
    <row r="143">
      <c r="B143" s="5" t="str">
        <f>IF('Jelenlét'!B143="Jövök :)",'Jelenlét'!$Z143,"")</f>
        <v/>
      </c>
      <c r="C143" s="5" t="str">
        <f>IF('Jelenlét'!C143="Jövök :)",'Jelenlét'!$Z143,"")</f>
        <v/>
      </c>
      <c r="D143" s="5" t="str">
        <f>IF('Jelenlét'!D143="Jövök :)",'Jelenlét'!$Z143,"")</f>
        <v/>
      </c>
      <c r="E143" s="5" t="str">
        <f>IF('Jelenlét'!E143="Jövök :)",'Jelenlét'!$Z143,"")</f>
        <v/>
      </c>
      <c r="F143" s="5" t="str">
        <f>IF('Jelenlét'!F143="Jövök :)",'Jelenlét'!$Z143,"")</f>
        <v/>
      </c>
      <c r="G143" s="5" t="str">
        <f>IF('Jelenlét'!G143="Jövök :)",'Jelenlét'!$Z143,"")</f>
        <v/>
      </c>
      <c r="H143" s="5" t="str">
        <f>IF('Jelenlét'!H143="Jövök :)",'Jelenlét'!$Z143,"")</f>
        <v/>
      </c>
      <c r="I143" s="5" t="str">
        <f>IF('Jelenlét'!I143="Jövök :)",'Jelenlét'!$Z143,"")</f>
        <v/>
      </c>
      <c r="J143" s="5" t="str">
        <f>IF('Jelenlét'!J143="Jövök :)",'Jelenlét'!$Z143,"")</f>
        <v/>
      </c>
      <c r="K143" s="5" t="str">
        <f>IF('Jelenlét'!K143="Jövök :)",'Jelenlét'!$Z143,"")</f>
        <v/>
      </c>
      <c r="L143" s="5" t="str">
        <f>IF('Jelenlét'!L143="Jövök :)",'Jelenlét'!$Z143,"")</f>
        <v/>
      </c>
      <c r="M143" s="5" t="str">
        <f>IF('Jelenlét'!M143="Jövök :)",'Jelenlét'!$Z143,"")</f>
        <v/>
      </c>
      <c r="N143" s="5" t="str">
        <f>IF('Jelenlét'!N143="Jövök :)",'Jelenlét'!$Z143,"")</f>
        <v/>
      </c>
      <c r="O143" s="5" t="str">
        <f>IF('Jelenlét'!O143="Jövök :)",'Jelenlét'!$Z143,"")</f>
        <v/>
      </c>
      <c r="P143" s="5" t="str">
        <f>IF('Jelenlét'!P143="Jövök :)",'Jelenlét'!$Z143,"")</f>
        <v/>
      </c>
      <c r="Q143" s="5" t="str">
        <f>IF('Jelenlét'!Q143="Jövök :)",'Jelenlét'!$Z143,"")</f>
        <v/>
      </c>
      <c r="R143" s="5" t="str">
        <f>IF('Jelenlét'!R143="Jövök :)",'Jelenlét'!$Z143,"")</f>
        <v/>
      </c>
      <c r="S143" s="5" t="str">
        <f>IF('Jelenlét'!S143="Jövök :)",'Jelenlét'!$Z143,"")</f>
        <v/>
      </c>
      <c r="T143" s="5" t="str">
        <f>IF('Jelenlét'!T143="Jövök :)",'Jelenlét'!$Z143,"")</f>
        <v/>
      </c>
      <c r="U143" s="5" t="str">
        <f>IF('Jelenlét'!U143="Jövök :)",'Jelenlét'!$Z143,"")</f>
        <v/>
      </c>
      <c r="V143" s="5" t="str">
        <f>IF('Jelenlét'!V143="Jövök :)",'Jelenlét'!$Z143,"")</f>
        <v/>
      </c>
    </row>
    <row r="144">
      <c r="B144" s="5" t="str">
        <f>IF('Jelenlét'!B144="Jövök :)",'Jelenlét'!$Z144,"")</f>
        <v/>
      </c>
      <c r="C144" s="5" t="str">
        <f>IF('Jelenlét'!C144="Jövök :)",'Jelenlét'!$Z144,"")</f>
        <v/>
      </c>
      <c r="D144" s="5" t="str">
        <f>IF('Jelenlét'!D144="Jövök :)",'Jelenlét'!$Z144,"")</f>
        <v/>
      </c>
      <c r="E144" s="5" t="str">
        <f>IF('Jelenlét'!E144="Jövök :)",'Jelenlét'!$Z144,"")</f>
        <v/>
      </c>
      <c r="F144" s="5" t="str">
        <f>IF('Jelenlét'!F144="Jövök :)",'Jelenlét'!$Z144,"")</f>
        <v/>
      </c>
      <c r="G144" s="5" t="str">
        <f>IF('Jelenlét'!G144="Jövök :)",'Jelenlét'!$Z144,"")</f>
        <v/>
      </c>
      <c r="H144" s="5" t="str">
        <f>IF('Jelenlét'!H144="Jövök :)",'Jelenlét'!$Z144,"")</f>
        <v/>
      </c>
      <c r="I144" s="5" t="str">
        <f>IF('Jelenlét'!I144="Jövök :)",'Jelenlét'!$Z144,"")</f>
        <v/>
      </c>
      <c r="J144" s="5" t="str">
        <f>IF('Jelenlét'!J144="Jövök :)",'Jelenlét'!$Z144,"")</f>
        <v/>
      </c>
      <c r="K144" s="5" t="str">
        <f>IF('Jelenlét'!K144="Jövök :)",'Jelenlét'!$Z144,"")</f>
        <v/>
      </c>
      <c r="L144" s="5" t="str">
        <f>IF('Jelenlét'!L144="Jövök :)",'Jelenlét'!$Z144,"")</f>
        <v/>
      </c>
      <c r="M144" s="5" t="str">
        <f>IF('Jelenlét'!M144="Jövök :)",'Jelenlét'!$Z144,"")</f>
        <v/>
      </c>
      <c r="N144" s="5" t="str">
        <f>IF('Jelenlét'!N144="Jövök :)",'Jelenlét'!$Z144,"")</f>
        <v/>
      </c>
      <c r="O144" s="5" t="str">
        <f>IF('Jelenlét'!O144="Jövök :)",'Jelenlét'!$Z144,"")</f>
        <v/>
      </c>
      <c r="P144" s="5" t="str">
        <f>IF('Jelenlét'!P144="Jövök :)",'Jelenlét'!$Z144,"")</f>
        <v/>
      </c>
      <c r="Q144" s="5" t="str">
        <f>IF('Jelenlét'!Q144="Jövök :)",'Jelenlét'!$Z144,"")</f>
        <v/>
      </c>
      <c r="R144" s="5" t="str">
        <f>IF('Jelenlét'!R144="Jövök :)",'Jelenlét'!$Z144,"")</f>
        <v/>
      </c>
      <c r="S144" s="5" t="str">
        <f>IF('Jelenlét'!S144="Jövök :)",'Jelenlét'!$Z144,"")</f>
        <v/>
      </c>
      <c r="T144" s="5" t="str">
        <f>IF('Jelenlét'!T144="Jövök :)",'Jelenlét'!$Z144,"")</f>
        <v/>
      </c>
      <c r="U144" s="5" t="str">
        <f>IF('Jelenlét'!U144="Jövök :)",'Jelenlét'!$Z144,"")</f>
        <v/>
      </c>
      <c r="V144" s="5" t="str">
        <f>IF('Jelenlét'!V144="Jövök :)",'Jelenlét'!$Z144,"")</f>
        <v/>
      </c>
    </row>
    <row r="145">
      <c r="B145" s="5" t="str">
        <f>IF('Jelenlét'!B145="Jövök :)",'Jelenlét'!$Z145,"")</f>
        <v/>
      </c>
      <c r="C145" s="5" t="str">
        <f>IF('Jelenlét'!C145="Jövök :)",'Jelenlét'!$Z145,"")</f>
        <v/>
      </c>
      <c r="D145" s="5" t="str">
        <f>IF('Jelenlét'!D145="Jövök :)",'Jelenlét'!$Z145,"")</f>
        <v/>
      </c>
      <c r="E145" s="5" t="str">
        <f>IF('Jelenlét'!E145="Jövök :)",'Jelenlét'!$Z145,"")</f>
        <v/>
      </c>
      <c r="F145" s="5" t="str">
        <f>IF('Jelenlét'!F145="Jövök :)",'Jelenlét'!$Z145,"")</f>
        <v/>
      </c>
      <c r="G145" s="5" t="str">
        <f>IF('Jelenlét'!G145="Jövök :)",'Jelenlét'!$Z145,"")</f>
        <v/>
      </c>
      <c r="H145" s="5" t="str">
        <f>IF('Jelenlét'!H145="Jövök :)",'Jelenlét'!$Z145,"")</f>
        <v/>
      </c>
      <c r="I145" s="5" t="str">
        <f>IF('Jelenlét'!I145="Jövök :)",'Jelenlét'!$Z145,"")</f>
        <v/>
      </c>
      <c r="J145" s="5" t="str">
        <f>IF('Jelenlét'!J145="Jövök :)",'Jelenlét'!$Z145,"")</f>
        <v/>
      </c>
      <c r="K145" s="5" t="str">
        <f>IF('Jelenlét'!K145="Jövök :)",'Jelenlét'!$Z145,"")</f>
        <v/>
      </c>
      <c r="L145" s="5" t="str">
        <f>IF('Jelenlét'!L145="Jövök :)",'Jelenlét'!$Z145,"")</f>
        <v/>
      </c>
      <c r="M145" s="5" t="str">
        <f>IF('Jelenlét'!M145="Jövök :)",'Jelenlét'!$Z145,"")</f>
        <v/>
      </c>
      <c r="N145" s="5" t="str">
        <f>IF('Jelenlét'!N145="Jövök :)",'Jelenlét'!$Z145,"")</f>
        <v/>
      </c>
      <c r="O145" s="5" t="str">
        <f>IF('Jelenlét'!O145="Jövök :)",'Jelenlét'!$Z145,"")</f>
        <v/>
      </c>
      <c r="P145" s="5" t="str">
        <f>IF('Jelenlét'!P145="Jövök :)",'Jelenlét'!$Z145,"")</f>
        <v/>
      </c>
      <c r="Q145" s="5" t="str">
        <f>IF('Jelenlét'!Q145="Jövök :)",'Jelenlét'!$Z145,"")</f>
        <v/>
      </c>
      <c r="R145" s="5" t="str">
        <f>IF('Jelenlét'!R145="Jövök :)",'Jelenlét'!$Z145,"")</f>
        <v/>
      </c>
      <c r="S145" s="5" t="str">
        <f>IF('Jelenlét'!S145="Jövök :)",'Jelenlét'!$Z145,"")</f>
        <v/>
      </c>
      <c r="T145" s="5" t="str">
        <f>IF('Jelenlét'!T145="Jövök :)",'Jelenlét'!$Z145,"")</f>
        <v/>
      </c>
      <c r="U145" s="5" t="str">
        <f>IF('Jelenlét'!U145="Jövök :)",'Jelenlét'!$Z145,"")</f>
        <v/>
      </c>
      <c r="V145" s="5" t="str">
        <f>IF('Jelenlét'!V145="Jövök :)",'Jelenlét'!$Z145,"")</f>
        <v/>
      </c>
    </row>
    <row r="146">
      <c r="B146" s="5" t="str">
        <f>IF('Jelenlét'!B146="Jövök :)",'Jelenlét'!$Z146,"")</f>
        <v/>
      </c>
      <c r="C146" s="5" t="str">
        <f>IF('Jelenlét'!C146="Jövök :)",'Jelenlét'!$Z146,"")</f>
        <v/>
      </c>
      <c r="D146" s="5" t="str">
        <f>IF('Jelenlét'!D146="Jövök :)",'Jelenlét'!$Z146,"")</f>
        <v/>
      </c>
      <c r="E146" s="5" t="str">
        <f>IF('Jelenlét'!E146="Jövök :)",'Jelenlét'!$Z146,"")</f>
        <v/>
      </c>
      <c r="F146" s="5" t="str">
        <f>IF('Jelenlét'!F146="Jövök :)",'Jelenlét'!$Z146,"")</f>
        <v/>
      </c>
      <c r="G146" s="5" t="str">
        <f>IF('Jelenlét'!G146="Jövök :)",'Jelenlét'!$Z146,"")</f>
        <v/>
      </c>
      <c r="H146" s="5" t="str">
        <f>IF('Jelenlét'!H146="Jövök :)",'Jelenlét'!$Z146,"")</f>
        <v/>
      </c>
      <c r="I146" s="5" t="str">
        <f>IF('Jelenlét'!I146="Jövök :)",'Jelenlét'!$Z146,"")</f>
        <v/>
      </c>
      <c r="J146" s="5" t="str">
        <f>IF('Jelenlét'!J146="Jövök :)",'Jelenlét'!$Z146,"")</f>
        <v/>
      </c>
      <c r="K146" s="5" t="str">
        <f>IF('Jelenlét'!K146="Jövök :)",'Jelenlét'!$Z146,"")</f>
        <v/>
      </c>
      <c r="L146" s="5" t="str">
        <f>IF('Jelenlét'!L146="Jövök :)",'Jelenlét'!$Z146,"")</f>
        <v/>
      </c>
      <c r="M146" s="5" t="str">
        <f>IF('Jelenlét'!M146="Jövök :)",'Jelenlét'!$Z146,"")</f>
        <v/>
      </c>
      <c r="N146" s="5" t="str">
        <f>IF('Jelenlét'!N146="Jövök :)",'Jelenlét'!$Z146,"")</f>
        <v/>
      </c>
      <c r="O146" s="5" t="str">
        <f>IF('Jelenlét'!O146="Jövök :)",'Jelenlét'!$Z146,"")</f>
        <v/>
      </c>
      <c r="P146" s="5" t="str">
        <f>IF('Jelenlét'!P146="Jövök :)",'Jelenlét'!$Z146,"")</f>
        <v/>
      </c>
      <c r="Q146" s="5" t="str">
        <f>IF('Jelenlét'!Q146="Jövök :)",'Jelenlét'!$Z146,"")</f>
        <v/>
      </c>
      <c r="R146" s="5" t="str">
        <f>IF('Jelenlét'!R146="Jövök :)",'Jelenlét'!$Z146,"")</f>
        <v/>
      </c>
      <c r="S146" s="5" t="str">
        <f>IF('Jelenlét'!S146="Jövök :)",'Jelenlét'!$Z146,"")</f>
        <v/>
      </c>
      <c r="T146" s="5" t="str">
        <f>IF('Jelenlét'!T146="Jövök :)",'Jelenlét'!$Z146,"")</f>
        <v/>
      </c>
      <c r="U146" s="5" t="str">
        <f>IF('Jelenlét'!U146="Jövök :)",'Jelenlét'!$Z146,"")</f>
        <v/>
      </c>
      <c r="V146" s="5" t="str">
        <f>IF('Jelenlét'!V146="Jövök :)",'Jelenlét'!$Z146,"")</f>
        <v/>
      </c>
    </row>
    <row r="147">
      <c r="B147" s="5" t="str">
        <f>IF('Jelenlét'!B147="Jövök :)",'Jelenlét'!$Z147,"")</f>
        <v/>
      </c>
      <c r="C147" s="5" t="str">
        <f>IF('Jelenlét'!C147="Jövök :)",'Jelenlét'!$Z147,"")</f>
        <v/>
      </c>
      <c r="D147" s="5" t="str">
        <f>IF('Jelenlét'!D147="Jövök :)",'Jelenlét'!$Z147,"")</f>
        <v/>
      </c>
      <c r="E147" s="5" t="str">
        <f>IF('Jelenlét'!E147="Jövök :)",'Jelenlét'!$Z147,"")</f>
        <v/>
      </c>
      <c r="F147" s="5" t="str">
        <f>IF('Jelenlét'!F147="Jövök :)",'Jelenlét'!$Z147,"")</f>
        <v/>
      </c>
      <c r="G147" s="5" t="str">
        <f>IF('Jelenlét'!G147="Jövök :)",'Jelenlét'!$Z147,"")</f>
        <v/>
      </c>
      <c r="H147" s="5" t="str">
        <f>IF('Jelenlét'!H147="Jövök :)",'Jelenlét'!$Z147,"")</f>
        <v/>
      </c>
      <c r="I147" s="5" t="str">
        <f>IF('Jelenlét'!I147="Jövök :)",'Jelenlét'!$Z147,"")</f>
        <v/>
      </c>
      <c r="J147" s="5" t="str">
        <f>IF('Jelenlét'!J147="Jövök :)",'Jelenlét'!$Z147,"")</f>
        <v/>
      </c>
      <c r="K147" s="5" t="str">
        <f>IF('Jelenlét'!K147="Jövök :)",'Jelenlét'!$Z147,"")</f>
        <v/>
      </c>
      <c r="L147" s="5" t="str">
        <f>IF('Jelenlét'!L147="Jövök :)",'Jelenlét'!$Z147,"")</f>
        <v/>
      </c>
      <c r="M147" s="5" t="str">
        <f>IF('Jelenlét'!M147="Jövök :)",'Jelenlét'!$Z147,"")</f>
        <v/>
      </c>
      <c r="N147" s="5" t="str">
        <f>IF('Jelenlét'!N147="Jövök :)",'Jelenlét'!$Z147,"")</f>
        <v/>
      </c>
      <c r="O147" s="5" t="str">
        <f>IF('Jelenlét'!O147="Jövök :)",'Jelenlét'!$Z147,"")</f>
        <v/>
      </c>
      <c r="P147" s="5" t="str">
        <f>IF('Jelenlét'!P147="Jövök :)",'Jelenlét'!$Z147,"")</f>
        <v/>
      </c>
      <c r="Q147" s="5" t="str">
        <f>IF('Jelenlét'!Q147="Jövök :)",'Jelenlét'!$Z147,"")</f>
        <v/>
      </c>
      <c r="R147" s="5" t="str">
        <f>IF('Jelenlét'!R147="Jövök :)",'Jelenlét'!$Z147,"")</f>
        <v/>
      </c>
      <c r="S147" s="5" t="str">
        <f>IF('Jelenlét'!S147="Jövök :)",'Jelenlét'!$Z147,"")</f>
        <v/>
      </c>
      <c r="T147" s="5" t="str">
        <f>IF('Jelenlét'!T147="Jövök :)",'Jelenlét'!$Z147,"")</f>
        <v/>
      </c>
      <c r="U147" s="5" t="str">
        <f>IF('Jelenlét'!U147="Jövök :)",'Jelenlét'!$Z147,"")</f>
        <v/>
      </c>
      <c r="V147" s="5" t="str">
        <f>IF('Jelenlét'!V147="Jövök :)",'Jelenlét'!$Z147,"")</f>
        <v/>
      </c>
    </row>
    <row r="148">
      <c r="B148" s="5" t="str">
        <f>IF('Jelenlét'!B148="Jövök :)",'Jelenlét'!$Z148,"")</f>
        <v/>
      </c>
      <c r="C148" s="5" t="str">
        <f>IF('Jelenlét'!C148="Jövök :)",'Jelenlét'!$Z148,"")</f>
        <v/>
      </c>
      <c r="D148" s="5" t="str">
        <f>IF('Jelenlét'!D148="Jövök :)",'Jelenlét'!$Z148,"")</f>
        <v/>
      </c>
      <c r="E148" s="5" t="str">
        <f>IF('Jelenlét'!E148="Jövök :)",'Jelenlét'!$Z148,"")</f>
        <v/>
      </c>
      <c r="F148" s="5" t="str">
        <f>IF('Jelenlét'!F148="Jövök :)",'Jelenlét'!$Z148,"")</f>
        <v/>
      </c>
      <c r="G148" s="5" t="str">
        <f>IF('Jelenlét'!G148="Jövök :)",'Jelenlét'!$Z148,"")</f>
        <v/>
      </c>
      <c r="H148" s="5" t="str">
        <f>IF('Jelenlét'!H148="Jövök :)",'Jelenlét'!$Z148,"")</f>
        <v/>
      </c>
      <c r="I148" s="5" t="str">
        <f>IF('Jelenlét'!I148="Jövök :)",'Jelenlét'!$Z148,"")</f>
        <v/>
      </c>
      <c r="J148" s="5" t="str">
        <f>IF('Jelenlét'!J148="Jövök :)",'Jelenlét'!$Z148,"")</f>
        <v/>
      </c>
      <c r="K148" s="5" t="str">
        <f>IF('Jelenlét'!K148="Jövök :)",'Jelenlét'!$Z148,"")</f>
        <v/>
      </c>
      <c r="L148" s="5" t="str">
        <f>IF('Jelenlét'!L148="Jövök :)",'Jelenlét'!$Z148,"")</f>
        <v/>
      </c>
      <c r="M148" s="5" t="str">
        <f>IF('Jelenlét'!M148="Jövök :)",'Jelenlét'!$Z148,"")</f>
        <v/>
      </c>
      <c r="N148" s="5" t="str">
        <f>IF('Jelenlét'!N148="Jövök :)",'Jelenlét'!$Z148,"")</f>
        <v/>
      </c>
      <c r="O148" s="5" t="str">
        <f>IF('Jelenlét'!O148="Jövök :)",'Jelenlét'!$Z148,"")</f>
        <v/>
      </c>
      <c r="P148" s="5" t="str">
        <f>IF('Jelenlét'!P148="Jövök :)",'Jelenlét'!$Z148,"")</f>
        <v/>
      </c>
      <c r="Q148" s="5" t="str">
        <f>IF('Jelenlét'!Q148="Jövök :)",'Jelenlét'!$Z148,"")</f>
        <v/>
      </c>
      <c r="R148" s="5" t="str">
        <f>IF('Jelenlét'!R148="Jövök :)",'Jelenlét'!$Z148,"")</f>
        <v/>
      </c>
      <c r="S148" s="5" t="str">
        <f>IF('Jelenlét'!S148="Jövök :)",'Jelenlét'!$Z148,"")</f>
        <v/>
      </c>
      <c r="T148" s="5" t="str">
        <f>IF('Jelenlét'!T148="Jövök :)",'Jelenlét'!$Z148,"")</f>
        <v/>
      </c>
      <c r="U148" s="5" t="str">
        <f>IF('Jelenlét'!U148="Jövök :)",'Jelenlét'!$Z148,"")</f>
        <v/>
      </c>
      <c r="V148" s="5" t="str">
        <f>IF('Jelenlét'!V148="Jövök :)",'Jelenlét'!$Z148,"")</f>
        <v/>
      </c>
    </row>
    <row r="149">
      <c r="B149" s="5" t="str">
        <f>IF('Jelenlét'!B149="Jövök :)",'Jelenlét'!$Z149,"")</f>
        <v/>
      </c>
      <c r="C149" s="5" t="str">
        <f>IF('Jelenlét'!C149="Jövök :)",'Jelenlét'!$Z149,"")</f>
        <v/>
      </c>
      <c r="D149" s="5" t="str">
        <f>IF('Jelenlét'!D149="Jövök :)",'Jelenlét'!$Z149,"")</f>
        <v/>
      </c>
      <c r="E149" s="5" t="str">
        <f>IF('Jelenlét'!E149="Jövök :)",'Jelenlét'!$Z149,"")</f>
        <v/>
      </c>
      <c r="F149" s="5" t="str">
        <f>IF('Jelenlét'!F149="Jövök :)",'Jelenlét'!$Z149,"")</f>
        <v/>
      </c>
      <c r="G149" s="5" t="str">
        <f>IF('Jelenlét'!G149="Jövök :)",'Jelenlét'!$Z149,"")</f>
        <v/>
      </c>
      <c r="H149" s="5" t="str">
        <f>IF('Jelenlét'!H149="Jövök :)",'Jelenlét'!$Z149,"")</f>
        <v/>
      </c>
      <c r="I149" s="5" t="str">
        <f>IF('Jelenlét'!I149="Jövök :)",'Jelenlét'!$Z149,"")</f>
        <v/>
      </c>
      <c r="J149" s="5" t="str">
        <f>IF('Jelenlét'!J149="Jövök :)",'Jelenlét'!$Z149,"")</f>
        <v/>
      </c>
      <c r="K149" s="5" t="str">
        <f>IF('Jelenlét'!K149="Jövök :)",'Jelenlét'!$Z149,"")</f>
        <v/>
      </c>
      <c r="L149" s="5" t="str">
        <f>IF('Jelenlét'!L149="Jövök :)",'Jelenlét'!$Z149,"")</f>
        <v/>
      </c>
      <c r="M149" s="5" t="str">
        <f>IF('Jelenlét'!M149="Jövök :)",'Jelenlét'!$Z149,"")</f>
        <v/>
      </c>
      <c r="N149" s="5" t="str">
        <f>IF('Jelenlét'!N149="Jövök :)",'Jelenlét'!$Z149,"")</f>
        <v/>
      </c>
      <c r="O149" s="5" t="str">
        <f>IF('Jelenlét'!O149="Jövök :)",'Jelenlét'!$Z149,"")</f>
        <v/>
      </c>
      <c r="P149" s="5" t="str">
        <f>IF('Jelenlét'!P149="Jövök :)",'Jelenlét'!$Z149,"")</f>
        <v/>
      </c>
      <c r="Q149" s="5" t="str">
        <f>IF('Jelenlét'!Q149="Jövök :)",'Jelenlét'!$Z149,"")</f>
        <v/>
      </c>
      <c r="R149" s="5" t="str">
        <f>IF('Jelenlét'!R149="Jövök :)",'Jelenlét'!$Z149,"")</f>
        <v/>
      </c>
      <c r="S149" s="5" t="str">
        <f>IF('Jelenlét'!S149="Jövök :)",'Jelenlét'!$Z149,"")</f>
        <v/>
      </c>
      <c r="T149" s="5" t="str">
        <f>IF('Jelenlét'!T149="Jövök :)",'Jelenlét'!$Z149,"")</f>
        <v/>
      </c>
      <c r="U149" s="5" t="str">
        <f>IF('Jelenlét'!U149="Jövök :)",'Jelenlét'!$Z149,"")</f>
        <v/>
      </c>
      <c r="V149" s="5" t="str">
        <f>IF('Jelenlét'!V149="Jövök :)",'Jelenlét'!$Z149,"")</f>
        <v/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7.38"/>
    <col customWidth="1" min="6" max="6" width="13.63"/>
    <col customWidth="1" min="7" max="7" width="17.5"/>
    <col customWidth="1" min="18" max="18" width="17.5"/>
    <col customWidth="1" min="19" max="19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57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58</v>
      </c>
      <c r="T1" s="3" t="s">
        <v>19</v>
      </c>
      <c r="U1" s="3" t="s">
        <v>20</v>
      </c>
      <c r="V1" s="4" t="s">
        <v>21</v>
      </c>
      <c r="W1" s="4"/>
    </row>
    <row r="2">
      <c r="A2" s="14" t="s">
        <v>60</v>
      </c>
      <c r="B2" s="18">
        <f>IF(COUNTIF('Jelenlét'!B31:B34,"&gt;1")=0,SUM('Számolás'!B31:B34),SUM('Számolás'!B31:B34))</f>
        <v>0</v>
      </c>
      <c r="C2" s="18">
        <f>IF(COUNTIF('Jelenlét'!C31:C34,"&gt;1")=0,SUM('Számolás'!C31:C34),SUM('Számolás'!C31:C34))</f>
        <v>5505.99359</v>
      </c>
      <c r="D2" s="18">
        <f>IF(COUNTIF('Jelenlét'!D31:D34,"&gt;1")=0,SUM('Számolás'!D31:D34),SUM('Számolás'!D31:D34))</f>
        <v>3677.916667</v>
      </c>
      <c r="E2" s="18">
        <f>IF(COUNTIF('Jelenlét'!E31:E34,"&gt;1")=0,SUM('Számolás'!E31:E34),SUM('Számolás'!E31:E34))</f>
        <v>0</v>
      </c>
      <c r="F2" s="18">
        <f>IF(COUNTIF('Jelenlét'!F31:F34,"&gt;1")=0,SUM('Számolás'!F31:F34),SUM('Számolás'!F31:F34))</f>
        <v>7666.448135</v>
      </c>
      <c r="G2" s="18">
        <f>IF(COUNTIF('Jelenlét'!G31:G34,"&gt;1")=0,SUM('Számolás'!G31:G34),SUM('Számolás'!G31:G34))</f>
        <v>7666.448135</v>
      </c>
      <c r="H2" s="18">
        <f>IF(COUNTIF('Jelenlét'!H31:H34,"&gt;1")=0,SUM('Számolás'!H31:H34),SUM('Számolás'!H31:H34))</f>
        <v>7666.448135</v>
      </c>
      <c r="I2" s="18">
        <f>IF(COUNTIF('Jelenlét'!I31:I34,"&gt;1")=0,SUM('Számolás'!I31:I34),SUM('Számolás'!I31:I34))</f>
        <v>7666.448135</v>
      </c>
      <c r="J2" s="18">
        <f>IF(COUNTIF('Jelenlét'!J31:J34,"&gt;1")=0,SUM('Számolás'!J31:J34),SUM('Számolás'!J31:J34))</f>
        <v>7666.448135</v>
      </c>
      <c r="K2" s="18">
        <f>IF(COUNTIF('Jelenlét'!K31:K34,"&gt;1")=0,SUM('Számolás'!K31:K34),SUM('Számolás'!K31:K34))</f>
        <v>0</v>
      </c>
      <c r="L2" s="18">
        <f>IF(COUNTIF('Jelenlét'!L31:L34,"&gt;1")=0,SUM('Számolás'!L31:L34),SUM('Számolás'!L31:L34))</f>
        <v>0</v>
      </c>
      <c r="M2" s="18">
        <f>IF(COUNTIF('Jelenlét'!M31:M34,"&gt;1")=0,SUM('Számolás'!M31:M34),SUM('Számolás'!M31:M34))</f>
        <v>0</v>
      </c>
      <c r="N2" s="18">
        <f>IF(COUNTIF('Jelenlét'!N31:N34,"&gt;1")=0,SUM('Számolás'!N31:N34),SUM('Számolás'!N31:N34))</f>
        <v>0</v>
      </c>
      <c r="O2" s="18">
        <f>IF(COUNTIF('Jelenlét'!O31:O34,"&gt;1")=0,SUM('Számolás'!O31:O34),SUM('Számolás'!O31:O34))</f>
        <v>0</v>
      </c>
      <c r="P2" s="18">
        <f>IF(COUNTIF('Jelenlét'!P31:P34,"&gt;1")=0,SUM('Számolás'!P31:P34),SUM('Számolás'!P31:P34))</f>
        <v>0</v>
      </c>
      <c r="Q2" s="18">
        <f>IF(COUNTIF('Jelenlét'!Q31:Q34,"&gt;1")=0,SUM('Számolás'!Q31:Q34),SUM('Számolás'!Q31:Q34))</f>
        <v>7666.448135</v>
      </c>
      <c r="R2" s="18">
        <f>IF(COUNTIF('Jelenlét'!R31:R34,"&gt;1")=0,SUM('Számolás'!R31:R34),SUM('Számolás'!R31:R34))</f>
        <v>19452.00466</v>
      </c>
      <c r="S2" s="18">
        <f>IF(COUNTIF('Jelenlét'!S31:S34,"&gt;1")=0,SUM('Számolás'!S31:S34),SUM('Számolás'!S31:S34))</f>
        <v>7203.49359</v>
      </c>
      <c r="T2" s="18">
        <f>IF(COUNTIF('Jelenlét'!T31:T34,"&gt;1")=0,SUM('Számolás'!T31:T34),SUM('Számolás'!T31:T34))</f>
        <v>3857.954545</v>
      </c>
      <c r="U2" s="18">
        <f>IF(COUNTIF('Jelenlét'!U31:U34,"&gt;1")=0,SUM('Számolás'!U31:U34),SUM('Számolás'!U31:U34))</f>
        <v>7666.448135</v>
      </c>
      <c r="V2" s="18">
        <f>IF(COUNTIF('Jelenlét'!V31:V34,"&gt;1")=0,SUM('Számolás'!V31:V34),SUM('Számolás'!V31:V34))</f>
        <v>1697.5</v>
      </c>
      <c r="W2" s="18">
        <f>SUM(B2:V2)</f>
        <v>95060</v>
      </c>
    </row>
    <row r="3">
      <c r="B3" s="15" t="str">
        <f>IF('Jelenlét'!B31&gt;1,'Jelenlét'!B31-1 &amp; "x" &amp;'Jelenlét'!$Z31," ")</f>
        <v> </v>
      </c>
      <c r="C3" s="15" t="str">
        <f>IF('Jelenlét'!C31&gt;1,'Jelenlét'!C31-1 &amp; "x" &amp;'Jelenlét'!$Z31," ")</f>
        <v> </v>
      </c>
      <c r="D3" s="15" t="str">
        <f>IF('Jelenlét'!D31&gt;1,'Jelenlét'!D31-1 &amp; "x" &amp;'Jelenlét'!$Z31," ")</f>
        <v> </v>
      </c>
      <c r="E3" s="15" t="str">
        <f>IF('Jelenlét'!E31&gt;1,'Jelenlét'!E31-1 &amp; "x" &amp;'Jelenlét'!$Z31," ")</f>
        <v> </v>
      </c>
      <c r="F3" s="15" t="str">
        <f>IF('Jelenlét'!F31&gt;1,'Jelenlét'!F31-1 &amp; "x" &amp;'Jelenlét'!$Z31," ")</f>
        <v> </v>
      </c>
      <c r="G3" s="15" t="str">
        <f>IF('Jelenlét'!G31&gt;1,'Jelenlét'!G31-1 &amp; "x" &amp;'Jelenlét'!$Z31," ")</f>
        <v> </v>
      </c>
      <c r="H3" s="15" t="str">
        <f>IF('Jelenlét'!H31&gt;1,'Jelenlét'!H31-1 &amp; "x" &amp;'Jelenlét'!$Z31," ")</f>
        <v> </v>
      </c>
      <c r="I3" s="15" t="str">
        <f>IF('Jelenlét'!I31&gt;1,'Jelenlét'!I31-1 &amp; "x" &amp;'Jelenlét'!$Z31," ")</f>
        <v> </v>
      </c>
      <c r="J3" s="15" t="str">
        <f>IF('Jelenlét'!J31&gt;1,'Jelenlét'!J31-1 &amp; "x" &amp;'Jelenlét'!$Z31," ")</f>
        <v> </v>
      </c>
      <c r="K3" s="15" t="str">
        <f>IF('Jelenlét'!K31&gt;1,'Jelenlét'!K31-1 &amp; "x" &amp;'Jelenlét'!$Z31," ")</f>
        <v> </v>
      </c>
      <c r="L3" s="15" t="str">
        <f>IF('Jelenlét'!L31&gt;1,'Jelenlét'!L31-1 &amp; "x" &amp;'Jelenlét'!$Z31," ")</f>
        <v> </v>
      </c>
      <c r="M3" s="15" t="str">
        <f>IF('Jelenlét'!M31&gt;1,'Jelenlét'!M31-1 &amp; "x" &amp;'Jelenlét'!$Z31," ")</f>
        <v> </v>
      </c>
      <c r="N3" s="15" t="str">
        <f>IF('Jelenlét'!N31&gt;1,'Jelenlét'!N31-1 &amp; "x" &amp;'Jelenlét'!$Z31," ")</f>
        <v> </v>
      </c>
      <c r="O3" s="15" t="str">
        <f>IF('Jelenlét'!O31&gt;1,'Jelenlét'!O31-1 &amp; "x" &amp;'Jelenlét'!$Z31," ")</f>
        <v> </v>
      </c>
      <c r="P3" s="15" t="str">
        <f>IF('Jelenlét'!P31&gt;1,'Jelenlét'!P31-1 &amp; "x" &amp;'Jelenlét'!$Z31," ")</f>
        <v> </v>
      </c>
      <c r="Q3" s="15" t="str">
        <f>IF('Jelenlét'!Q31&gt;1,'Jelenlét'!Q31-1 &amp; "x" &amp;'Jelenlét'!$Z31," ")</f>
        <v> </v>
      </c>
      <c r="R3" s="15" t="str">
        <f>IF('Jelenlét'!R31&gt;1,'Jelenlét'!R31-1 &amp; "x" &amp;'Jelenlét'!$Z31," ")</f>
        <v>2x2160,45454545455</v>
      </c>
      <c r="S3" s="15" t="str">
        <f>IF('Jelenlét'!S31&gt;1,'Jelenlét'!S31-1 &amp; "x" &amp;'Jelenlét'!$Z31," ")</f>
        <v> </v>
      </c>
      <c r="T3" s="15" t="str">
        <f>IF('Jelenlét'!T31&gt;1,'Jelenlét'!T31-1 &amp; "x" &amp;'Jelenlét'!$Z31," ")</f>
        <v> </v>
      </c>
      <c r="U3" s="15" t="str">
        <f>IF('Jelenlét'!U31&gt;1,'Jelenlét'!U31-1 &amp; "x" &amp;'Jelenlét'!$Z31," ")</f>
        <v> </v>
      </c>
      <c r="W3" s="19"/>
    </row>
    <row r="4">
      <c r="B4" s="15" t="str">
        <f>IF('Jelenlét'!B32&gt;1,'Jelenlét'!B32-1 &amp; "x" &amp;'Jelenlét'!$Z32," ")</f>
        <v> </v>
      </c>
      <c r="C4" s="15" t="str">
        <f>IF('Jelenlét'!C32&gt;1,'Jelenlét'!C32-1 &amp; "x" &amp;'Jelenlét'!$Z32," ")</f>
        <v> </v>
      </c>
      <c r="D4" s="15" t="str">
        <f>IF('Jelenlét'!D32&gt;1,'Jelenlét'!D32-1 &amp; "x" &amp;'Jelenlét'!$Z32," ")</f>
        <v> </v>
      </c>
      <c r="E4" s="15" t="str">
        <f>IF('Jelenlét'!E32&gt;1,'Jelenlét'!E32-1 &amp; "x" &amp;'Jelenlét'!$Z32," ")</f>
        <v> </v>
      </c>
      <c r="F4" s="15" t="str">
        <f>IF('Jelenlét'!F32&gt;1,'Jelenlét'!F32-1 &amp; "x" &amp;'Jelenlét'!$Z32," ")</f>
        <v> </v>
      </c>
      <c r="G4" s="15" t="str">
        <f>IF('Jelenlét'!G32&gt;1,'Jelenlét'!G32-1 &amp; "x" &amp;'Jelenlét'!$Z32," ")</f>
        <v> </v>
      </c>
      <c r="H4" s="15" t="str">
        <f>IF('Jelenlét'!H32&gt;1,'Jelenlét'!H32-1 &amp; "x" &amp;'Jelenlét'!$Z32," ")</f>
        <v> </v>
      </c>
      <c r="I4" s="15" t="str">
        <f>IF('Jelenlét'!I32&gt;1,'Jelenlét'!I32-1 &amp; "x" &amp;'Jelenlét'!$Z32," ")</f>
        <v> </v>
      </c>
      <c r="J4" s="15" t="str">
        <f>IF('Jelenlét'!J32&gt;1,'Jelenlét'!J32-1 &amp; "x" &amp;'Jelenlét'!$Z32," ")</f>
        <v> </v>
      </c>
      <c r="K4" s="15" t="str">
        <f>IF('Jelenlét'!K32&gt;1,'Jelenlét'!K32-1 &amp; "x" &amp;'Jelenlét'!$Z32," ")</f>
        <v> </v>
      </c>
      <c r="L4" s="15" t="str">
        <f>IF('Jelenlét'!L32&gt;1,'Jelenlét'!L32-1 &amp; "x" &amp;'Jelenlét'!$Z32," ")</f>
        <v> </v>
      </c>
      <c r="M4" s="15" t="str">
        <f>IF('Jelenlét'!M32&gt;1,'Jelenlét'!M32-1 &amp; "x" &amp;'Jelenlét'!$Z32," ")</f>
        <v> </v>
      </c>
      <c r="N4" s="15" t="str">
        <f>IF('Jelenlét'!N32&gt;1,'Jelenlét'!N32-1 &amp; "x" &amp;'Jelenlét'!$Z32," ")</f>
        <v> </v>
      </c>
      <c r="O4" s="15" t="str">
        <f>IF('Jelenlét'!O32&gt;1,'Jelenlét'!O32-1 &amp; "x" &amp;'Jelenlét'!$Z32," ")</f>
        <v> </v>
      </c>
      <c r="P4" s="15" t="str">
        <f>IF('Jelenlét'!P32&gt;1,'Jelenlét'!P32-1 &amp; "x" &amp;'Jelenlét'!$Z32," ")</f>
        <v> </v>
      </c>
      <c r="Q4" s="15" t="str">
        <f>IF('Jelenlét'!Q32&gt;1,'Jelenlét'!Q32-1 &amp; "x" &amp;'Jelenlét'!$Z32," ")</f>
        <v> </v>
      </c>
      <c r="R4" s="15" t="str">
        <f>IF('Jelenlét'!R32&gt;1,'Jelenlét'!R32-1 &amp; "x" &amp;'Jelenlét'!$Z32," ")</f>
        <v>3x1828,07692307692</v>
      </c>
      <c r="S4" s="15" t="str">
        <f>IF('Jelenlét'!S32&gt;1,'Jelenlét'!S32-1 &amp; "x" &amp;'Jelenlét'!$Z32," ")</f>
        <v> </v>
      </c>
      <c r="T4" s="15" t="str">
        <f>IF('Jelenlét'!T32&gt;1,'Jelenlét'!T32-1 &amp; "x" &amp;'Jelenlét'!$Z32," ")</f>
        <v> </v>
      </c>
      <c r="U4" s="15" t="str">
        <f>IF('Jelenlét'!U32&gt;1,'Jelenlét'!U32-1 &amp; "x" &amp;'Jelenlét'!$Z32," ")</f>
        <v> </v>
      </c>
      <c r="W4" s="19"/>
    </row>
    <row r="5">
      <c r="B5" s="15" t="str">
        <f>IF('Jelenlét'!B33&gt;1,'Jelenlét'!B33-1 &amp; "x" &amp;'Jelenlét'!$Z33," ")</f>
        <v> </v>
      </c>
      <c r="C5" s="15" t="str">
        <f>IF('Jelenlét'!C33&gt;1,'Jelenlét'!C33-1 &amp; "x" &amp;'Jelenlét'!$Z33," ")</f>
        <v> </v>
      </c>
      <c r="D5" s="15" t="str">
        <f>IF('Jelenlét'!D33&gt;1,'Jelenlét'!D33-1 &amp; "x" &amp;'Jelenlét'!$Z33," ")</f>
        <v> </v>
      </c>
      <c r="E5" s="15" t="str">
        <f>IF('Jelenlét'!E33&gt;1,'Jelenlét'!E33-1 &amp; "x" &amp;'Jelenlét'!$Z33," ")</f>
        <v> </v>
      </c>
      <c r="F5" s="15" t="str">
        <f>IF('Jelenlét'!F33&gt;1,'Jelenlét'!F33-1 &amp; "x" &amp;'Jelenlét'!$Z33," ")</f>
        <v> </v>
      </c>
      <c r="G5" s="15" t="str">
        <f>IF('Jelenlét'!G33&gt;1,'Jelenlét'!G33-1 &amp; "x" &amp;'Jelenlét'!$Z33," ")</f>
        <v> </v>
      </c>
      <c r="H5" s="15" t="str">
        <f>IF('Jelenlét'!H33&gt;1,'Jelenlét'!H33-1 &amp; "x" &amp;'Jelenlét'!$Z33," ")</f>
        <v> </v>
      </c>
      <c r="I5" s="15" t="str">
        <f>IF('Jelenlét'!I33&gt;1,'Jelenlét'!I33-1 &amp; "x" &amp;'Jelenlét'!$Z33," ")</f>
        <v> </v>
      </c>
      <c r="J5" s="15" t="str">
        <f>IF('Jelenlét'!J33&gt;1,'Jelenlét'!J33-1 &amp; "x" &amp;'Jelenlét'!$Z33," ")</f>
        <v> </v>
      </c>
      <c r="K5" s="15" t="str">
        <f>IF('Jelenlét'!K33&gt;1,'Jelenlét'!K33-1 &amp; "x" &amp;'Jelenlét'!$Z33," ")</f>
        <v> </v>
      </c>
      <c r="L5" s="15" t="str">
        <f>IF('Jelenlét'!L33&gt;1,'Jelenlét'!L33-1 &amp; "x" &amp;'Jelenlét'!$Z33," ")</f>
        <v> </v>
      </c>
      <c r="M5" s="15" t="str">
        <f>IF('Jelenlét'!M33&gt;1,'Jelenlét'!M33-1 &amp; "x" &amp;'Jelenlét'!$Z33," ")</f>
        <v> </v>
      </c>
      <c r="N5" s="15" t="str">
        <f>IF('Jelenlét'!N33&gt;1,'Jelenlét'!N33-1 &amp; "x" &amp;'Jelenlét'!$Z33," ")</f>
        <v> </v>
      </c>
      <c r="O5" s="15" t="str">
        <f>IF('Jelenlét'!O33&gt;1,'Jelenlét'!O33-1 &amp; "x" &amp;'Jelenlét'!$Z33," ")</f>
        <v> </v>
      </c>
      <c r="P5" s="15" t="str">
        <f>IF('Jelenlét'!P33&gt;1,'Jelenlét'!P33-1 &amp; "x" &amp;'Jelenlét'!$Z33," ")</f>
        <v> </v>
      </c>
      <c r="Q5" s="15" t="str">
        <f>IF('Jelenlét'!Q33&gt;1,'Jelenlét'!Q33-1 &amp; "x" &amp;'Jelenlét'!$Z33," ")</f>
        <v> </v>
      </c>
      <c r="R5" s="15" t="str">
        <f>IF('Jelenlét'!R33&gt;1,'Jelenlét'!R33-1 &amp; "x" &amp;'Jelenlét'!$Z33," ")</f>
        <v>1x1980,41666666667</v>
      </c>
      <c r="S5" s="15" t="str">
        <f>IF('Jelenlét'!S33&gt;1,'Jelenlét'!S33-1 &amp; "x" &amp;'Jelenlét'!$Z33," ")</f>
        <v> </v>
      </c>
      <c r="T5" s="15" t="str">
        <f>IF('Jelenlét'!T33&gt;1,'Jelenlét'!T33-1 &amp; "x" &amp;'Jelenlét'!$Z33," ")</f>
        <v> </v>
      </c>
      <c r="U5" s="15" t="str">
        <f>IF('Jelenlét'!U33&gt;1,'Jelenlét'!U33-1 &amp; "x" &amp;'Jelenlét'!$Z33," ")</f>
        <v> </v>
      </c>
      <c r="W5" s="19"/>
    </row>
    <row r="6">
      <c r="B6" s="15" t="str">
        <f>IF('Jelenlét'!B34&gt;1,'Jelenlét'!B34-1 &amp; "x" &amp;'Jelenlét'!$Z34," ")</f>
        <v> </v>
      </c>
      <c r="C6" s="15" t="str">
        <f>IF('Jelenlét'!C34&gt;1,'Jelenlét'!C34-1 &amp; "x" &amp;'Jelenlét'!$Z34," ")</f>
        <v> </v>
      </c>
      <c r="D6" s="15" t="str">
        <f>IF('Jelenlét'!D34&gt;1,'Jelenlét'!D34-1 &amp; "x" &amp;'Jelenlét'!$Z34," ")</f>
        <v> </v>
      </c>
      <c r="E6" s="15" t="str">
        <f>IF('Jelenlét'!E34&gt;1,'Jelenlét'!E34-1 &amp; "x" &amp;'Jelenlét'!$Z34," ")</f>
        <v> </v>
      </c>
      <c r="F6" s="15" t="str">
        <f>IF('Jelenlét'!F34&gt;1,'Jelenlét'!F34-1 &amp; "x" &amp;'Jelenlét'!$Z34," ")</f>
        <v> </v>
      </c>
      <c r="G6" s="15" t="str">
        <f>IF('Jelenlét'!G34&gt;1,'Jelenlét'!G34-1 &amp; "x" &amp;'Jelenlét'!$Z34," ")</f>
        <v> </v>
      </c>
      <c r="H6" s="15" t="str">
        <f>IF('Jelenlét'!H34&gt;1,'Jelenlét'!H34-1 &amp; "x" &amp;'Jelenlét'!$Z34," ")</f>
        <v> </v>
      </c>
      <c r="I6" s="15" t="str">
        <f>IF('Jelenlét'!I34&gt;1,'Jelenlét'!I34-1 &amp; "x" &amp;'Jelenlét'!$Z34," ")</f>
        <v> </v>
      </c>
      <c r="J6" s="15" t="str">
        <f>IF('Jelenlét'!J34&gt;1,'Jelenlét'!J34-1 &amp; "x" &amp;'Jelenlét'!$Z34," ")</f>
        <v> </v>
      </c>
      <c r="K6" s="15" t="str">
        <f>IF('Jelenlét'!K34&gt;1,'Jelenlét'!K34-1 &amp; "x" &amp;'Jelenlét'!$Z34," ")</f>
        <v> </v>
      </c>
      <c r="L6" s="15" t="str">
        <f>IF('Jelenlét'!L34&gt;1,'Jelenlét'!L34-1 &amp; "x" &amp;'Jelenlét'!$Z34," ")</f>
        <v> </v>
      </c>
      <c r="M6" s="15" t="str">
        <f>IF('Jelenlét'!M34&gt;1,'Jelenlét'!M34-1 &amp; "x" &amp;'Jelenlét'!$Z34," ")</f>
        <v> </v>
      </c>
      <c r="N6" s="15" t="str">
        <f>IF('Jelenlét'!N34&gt;1,'Jelenlét'!N34-1 &amp; "x" &amp;'Jelenlét'!$Z34," ")</f>
        <v> </v>
      </c>
      <c r="O6" s="15" t="str">
        <f>IF('Jelenlét'!O34&gt;1,'Jelenlét'!O34-1 &amp; "x" &amp;'Jelenlét'!$Z34," ")</f>
        <v> </v>
      </c>
      <c r="P6" s="15" t="str">
        <f>IF('Jelenlét'!P34&gt;1,'Jelenlét'!P34-1 &amp; "x" &amp;'Jelenlét'!$Z34," ")</f>
        <v> </v>
      </c>
      <c r="Q6" s="15" t="str">
        <f>IF('Jelenlét'!Q34&gt;1,'Jelenlét'!Q34-1 &amp; "x" &amp;'Jelenlét'!$Z34," ")</f>
        <v> </v>
      </c>
      <c r="R6" s="15" t="str">
        <f>IF('Jelenlét'!R34&gt;1,'Jelenlét'!R34-1 &amp; "x" &amp;'Jelenlét'!$Z34," ")</f>
        <v> </v>
      </c>
      <c r="S6" s="15" t="str">
        <f>IF('Jelenlét'!S34&gt;1,'Jelenlét'!S34-1 &amp; "x" &amp;'Jelenlét'!$Z34," ")</f>
        <v>1x1697,5</v>
      </c>
      <c r="T6" s="15" t="str">
        <f>IF('Jelenlét'!T34&gt;1,'Jelenlét'!T34-1 &amp; "x" &amp;'Jelenlét'!$Z34," ")</f>
        <v> </v>
      </c>
      <c r="U6" s="15" t="str">
        <f>IF('Jelenlét'!U34&gt;1,'Jelenlét'!U34-1 &amp; "x" &amp;'Jelenlét'!$Z34," ")</f>
        <v> </v>
      </c>
      <c r="W6" s="19"/>
    </row>
    <row r="7">
      <c r="B7" s="19" t="b">
        <v>0</v>
      </c>
      <c r="C7" s="19" t="b">
        <v>0</v>
      </c>
      <c r="D7" s="19" t="b">
        <v>0</v>
      </c>
      <c r="E7" s="19" t="b">
        <v>0</v>
      </c>
      <c r="F7" s="19" t="b">
        <v>0</v>
      </c>
      <c r="G7" s="19" t="b">
        <v>0</v>
      </c>
      <c r="H7" s="19" t="b">
        <v>0</v>
      </c>
      <c r="I7" s="19" t="b">
        <v>0</v>
      </c>
      <c r="J7" s="19" t="b">
        <v>0</v>
      </c>
      <c r="K7" s="19" t="b">
        <v>0</v>
      </c>
      <c r="L7" s="19" t="b">
        <v>0</v>
      </c>
      <c r="M7" s="19" t="b">
        <v>0</v>
      </c>
      <c r="N7" s="19" t="b">
        <v>0</v>
      </c>
      <c r="O7" s="19" t="b">
        <v>0</v>
      </c>
      <c r="P7" s="19" t="b">
        <v>0</v>
      </c>
      <c r="Q7" s="19" t="b">
        <v>0</v>
      </c>
      <c r="R7" s="19" t="b">
        <v>0</v>
      </c>
      <c r="S7" s="19" t="b">
        <v>0</v>
      </c>
      <c r="T7" s="4" t="b">
        <v>1</v>
      </c>
      <c r="U7" s="19" t="b">
        <v>0</v>
      </c>
      <c r="V7" s="19" t="b">
        <v>0</v>
      </c>
      <c r="W7" s="19"/>
    </row>
    <row r="8">
      <c r="A8" s="14" t="s">
        <v>61</v>
      </c>
      <c r="B8" s="18">
        <f>IF(COUNTIF('Jelenlét'!B35:B39,"&gt;1")=0,SUM('Számolás'!B35:B39),SUM('Számolás'!B35:B39))</f>
        <v>0</v>
      </c>
      <c r="C8" s="18">
        <f>IF(COUNTIF('Jelenlét'!C35:C39,"&gt;1")=0,SUM('Számolás'!C35:C39),SUM('Számolás'!C35:C39))</f>
        <v>5631.733333</v>
      </c>
      <c r="D8" s="18">
        <f>IF(COUNTIF('Jelenlét'!D35:D39,"&gt;1")=0,SUM('Számolás'!D35:D39),SUM('Számolás'!D35:D39))</f>
        <v>11263.46667</v>
      </c>
      <c r="E8" s="18">
        <f>IF(COUNTIF('Jelenlét'!E35:E39,"&gt;1")=0,SUM('Számolás'!E35:E39),SUM('Számolás'!E35:E39))</f>
        <v>7240.8</v>
      </c>
      <c r="F8" s="18">
        <f>IF(COUNTIF('Jelenlét'!F35:F39,"&gt;1")=0,SUM('Számolás'!F35:F39),SUM('Számolás'!F35:F39))</f>
        <v>14883.86667</v>
      </c>
      <c r="G8" s="18">
        <f>IF(COUNTIF('Jelenlét'!G35:G39,"&gt;1")=0,SUM('Számolás'!G35:G39),SUM('Számolás'!G35:G39))</f>
        <v>10861.2</v>
      </c>
      <c r="H8" s="18">
        <f>IF(COUNTIF('Jelenlét'!H35:H39,"&gt;1")=0,SUM('Számolás'!H35:H39),SUM('Számolás'!H35:H39))</f>
        <v>3620.4</v>
      </c>
      <c r="I8" s="18">
        <f>IF(COUNTIF('Jelenlét'!I35:I39,"&gt;1")=0,SUM('Számolás'!I35:I39),SUM('Számolás'!I35:I39))</f>
        <v>5229.466667</v>
      </c>
      <c r="J8" s="18">
        <f>IF(COUNTIF('Jelenlét'!J35:J39,"&gt;1")=0,SUM('Számolás'!J35:J39),SUM('Számolás'!J35:J39))</f>
        <v>8849.866667</v>
      </c>
      <c r="K8" s="18">
        <f>IF(COUNTIF('Jelenlét'!K35:K39,"&gt;1")=0,SUM('Számolás'!K35:K39),SUM('Számolás'!K35:K39))</f>
        <v>1609.066667</v>
      </c>
      <c r="L8" s="18">
        <f>IF(COUNTIF('Jelenlét'!L35:L39,"&gt;1")=0,SUM('Számolás'!L35:L39),SUM('Számolás'!L35:L39))</f>
        <v>0</v>
      </c>
      <c r="M8" s="18">
        <f>IF(COUNTIF('Jelenlét'!M35:M39,"&gt;1")=0,SUM('Számolás'!M35:M39),SUM('Számolás'!M35:M39))</f>
        <v>0</v>
      </c>
      <c r="N8" s="18">
        <f>IF(COUNTIF('Jelenlét'!N35:N39,"&gt;1")=0,SUM('Számolás'!N35:N39),SUM('Számolás'!N35:N39))</f>
        <v>0</v>
      </c>
      <c r="O8" s="18">
        <f>IF(COUNTIF('Jelenlét'!O35:O39,"&gt;1")=0,SUM('Számolás'!O35:O39),SUM('Számolás'!O35:O39))</f>
        <v>0</v>
      </c>
      <c r="P8" s="18">
        <f>IF(COUNTIF('Jelenlét'!P35:P39,"&gt;1")=0,SUM('Számolás'!P35:P39),SUM('Számolás'!P35:P39))</f>
        <v>0</v>
      </c>
      <c r="Q8" s="18">
        <f>IF(COUNTIF('Jelenlét'!Q35:Q39,"&gt;1")=0,SUM('Számolás'!Q35:Q39),SUM('Számolás'!Q35:Q39))</f>
        <v>3620.4</v>
      </c>
      <c r="R8" s="18">
        <f>IF(COUNTIF('Jelenlét'!R35:R39,"&gt;1")=0,SUM('Számolás'!R35:R39),SUM('Számolás'!R35:R39))</f>
        <v>20113.33333</v>
      </c>
      <c r="S8" s="18">
        <f>IF(COUNTIF('Jelenlét'!S35:S39,"&gt;1")=0,SUM('Számolás'!S35:S39),SUM('Számolás'!S35:S39))</f>
        <v>7643.066667</v>
      </c>
      <c r="T8" s="18">
        <f>IF(COUNTIF('Jelenlét'!T35:T39,"&gt;1")=0,SUM('Számolás'!T35:T39),SUM('Számolás'!T35:T39))</f>
        <v>3620.4</v>
      </c>
      <c r="U8" s="18">
        <f>IF(COUNTIF('Jelenlét'!U35:U39,"&gt;1")=0,SUM('Számolás'!U35:U39),SUM('Számolás'!U35:U39))</f>
        <v>9252.133333</v>
      </c>
      <c r="V8" s="18">
        <f>IF(COUNTIF('Jelenlét'!V35:V39,"&gt;1")=0,SUM('Számolás'!V35:V39),SUM('Számolás'!V35:V39))</f>
        <v>7240.8</v>
      </c>
      <c r="W8" s="18">
        <f>SUM(B8:V8)</f>
        <v>120680</v>
      </c>
    </row>
    <row r="9">
      <c r="B9" s="15" t="str">
        <f>IF('Jelenlét'!B35&gt;1,'Jelenlét'!B35-1 &amp; "x" &amp;'Jelenlét'!$Z35," ")</f>
        <v> </v>
      </c>
      <c r="C9" s="15" t="str">
        <f>IF('Jelenlét'!C35&gt;1,'Jelenlét'!C35-1 &amp; "x" &amp;'Jelenlét'!$Z35," ")</f>
        <v> </v>
      </c>
      <c r="D9" s="15" t="str">
        <f>IF('Jelenlét'!D35&gt;1,'Jelenlét'!D35-1 &amp; "x" &amp;'Jelenlét'!$Z35," ")</f>
        <v> </v>
      </c>
      <c r="E9" s="15" t="str">
        <f>IF('Jelenlét'!E35&gt;1,'Jelenlét'!E35-1 &amp; "x" &amp;'Jelenlét'!$Z35," ")</f>
        <v>1x1609,06666666667</v>
      </c>
      <c r="F9" s="15" t="str">
        <f>IF('Jelenlét'!F35&gt;1,'Jelenlét'!F35-1 &amp; "x" &amp;'Jelenlét'!$Z35," ")</f>
        <v> </v>
      </c>
      <c r="G9" s="15" t="str">
        <f>IF('Jelenlét'!G35&gt;1,'Jelenlét'!G35-1 &amp; "x" &amp;'Jelenlét'!$Z35," ")</f>
        <v> </v>
      </c>
      <c r="H9" s="15" t="str">
        <f>IF('Jelenlét'!H35&gt;1,'Jelenlét'!H35-1 &amp; "x" &amp;'Jelenlét'!$Z35," ")</f>
        <v> </v>
      </c>
      <c r="I9" s="15" t="str">
        <f>IF('Jelenlét'!I35&gt;1,'Jelenlét'!I35-1 &amp; "x" &amp;'Jelenlét'!$Z35," ")</f>
        <v> </v>
      </c>
      <c r="J9" s="15" t="str">
        <f>IF('Jelenlét'!J35&gt;1,'Jelenlét'!J35-1 &amp; "x" &amp;'Jelenlét'!$Z35," ")</f>
        <v> </v>
      </c>
      <c r="K9" s="15" t="str">
        <f>IF('Jelenlét'!K35&gt;1,'Jelenlét'!K35-1 &amp; "x" &amp;'Jelenlét'!$Z35," ")</f>
        <v> </v>
      </c>
      <c r="L9" s="15" t="str">
        <f>IF('Jelenlét'!L35&gt;1,'Jelenlét'!L35-1 &amp; "x" &amp;'Jelenlét'!$Z35," ")</f>
        <v> </v>
      </c>
      <c r="M9" s="15" t="str">
        <f>IF('Jelenlét'!M35&gt;1,'Jelenlét'!M35-1 &amp; "x" &amp;'Jelenlét'!$Z35," ")</f>
        <v> </v>
      </c>
      <c r="N9" s="15" t="str">
        <f>IF('Jelenlét'!N35&gt;1,'Jelenlét'!N35-1 &amp; "x" &amp;'Jelenlét'!$Z35," ")</f>
        <v> </v>
      </c>
      <c r="O9" s="15" t="str">
        <f>IF('Jelenlét'!O35&gt;1,'Jelenlét'!O35-1 &amp; "x" &amp;'Jelenlét'!$Z35," ")</f>
        <v> </v>
      </c>
      <c r="P9" s="15" t="str">
        <f>IF('Jelenlét'!P35&gt;1,'Jelenlét'!P35-1 &amp; "x" &amp;'Jelenlét'!$Z35," ")</f>
        <v> </v>
      </c>
      <c r="Q9" s="15" t="str">
        <f>IF('Jelenlét'!Q35&gt;1,'Jelenlét'!Q35-1 &amp; "x" &amp;'Jelenlét'!$Z35," ")</f>
        <v> </v>
      </c>
      <c r="R9" s="15" t="str">
        <f>IF('Jelenlét'!R35&gt;1,'Jelenlét'!R35-1 &amp; "x" &amp;'Jelenlét'!$Z35," ")</f>
        <v>1x1609,06666666667</v>
      </c>
      <c r="S9" s="15" t="str">
        <f>IF('Jelenlét'!S35&gt;1,'Jelenlét'!S35-1 &amp; "x" &amp;'Jelenlét'!$Z35," ")</f>
        <v> </v>
      </c>
      <c r="T9" s="15" t="str">
        <f>IF('Jelenlét'!T35&gt;1,'Jelenlét'!T35-1 &amp; "x" &amp;'Jelenlét'!$Z35," ")</f>
        <v> </v>
      </c>
      <c r="U9" s="15" t="str">
        <f>IF('Jelenlét'!U35&gt;1,'Jelenlét'!U35-1 &amp; "x" &amp;'Jelenlét'!$Z35," ")</f>
        <v> </v>
      </c>
      <c r="W9" s="19"/>
    </row>
    <row r="10">
      <c r="B10" s="15" t="str">
        <f>IF('Jelenlét'!B36&gt;1,'Jelenlét'!B36-1 &amp; "x" &amp;'Jelenlét'!$Z36," ")</f>
        <v> </v>
      </c>
      <c r="C10" s="15" t="str">
        <f>IF('Jelenlét'!C36&gt;1,'Jelenlét'!C36-1 &amp; "x" &amp;'Jelenlét'!$Z36," ")</f>
        <v> </v>
      </c>
      <c r="D10" s="15" t="str">
        <f>IF('Jelenlét'!D36&gt;1,'Jelenlét'!D36-1 &amp; "x" &amp;'Jelenlét'!$Z36," ")</f>
        <v> </v>
      </c>
      <c r="E10" s="15" t="str">
        <f>IF('Jelenlét'!E36&gt;1,'Jelenlét'!E36-1 &amp; "x" &amp;'Jelenlét'!$Z36," ")</f>
        <v> </v>
      </c>
      <c r="F10" s="15" t="str">
        <f>IF('Jelenlét'!F36&gt;1,'Jelenlét'!F36-1 &amp; "x" &amp;'Jelenlét'!$Z36," ")</f>
        <v>1x1609,06666666667</v>
      </c>
      <c r="G10" s="15" t="str">
        <f>IF('Jelenlét'!G36&gt;1,'Jelenlét'!G36-1 &amp; "x" &amp;'Jelenlét'!$Z36," ")</f>
        <v>1x1609,06666666667</v>
      </c>
      <c r="H10" s="15" t="str">
        <f>IF('Jelenlét'!H36&gt;1,'Jelenlét'!H36-1 &amp; "x" &amp;'Jelenlét'!$Z36," ")</f>
        <v> </v>
      </c>
      <c r="I10" s="15" t="str">
        <f>IF('Jelenlét'!I36&gt;1,'Jelenlét'!I36-1 &amp; "x" &amp;'Jelenlét'!$Z36," ")</f>
        <v> </v>
      </c>
      <c r="J10" s="15" t="str">
        <f>IF('Jelenlét'!J36&gt;1,'Jelenlét'!J36-1 &amp; "x" &amp;'Jelenlét'!$Z36," ")</f>
        <v>1x1609,06666666667</v>
      </c>
      <c r="K10" s="15" t="str">
        <f>IF('Jelenlét'!K36&gt;1,'Jelenlét'!K36-1 &amp; "x" &amp;'Jelenlét'!$Z36," ")</f>
        <v> </v>
      </c>
      <c r="L10" s="15" t="str">
        <f>IF('Jelenlét'!L36&gt;1,'Jelenlét'!L36-1 &amp; "x" &amp;'Jelenlét'!$Z36," ")</f>
        <v> </v>
      </c>
      <c r="M10" s="15" t="str">
        <f>IF('Jelenlét'!M36&gt;1,'Jelenlét'!M36-1 &amp; "x" &amp;'Jelenlét'!$Z36," ")</f>
        <v> </v>
      </c>
      <c r="N10" s="15" t="str">
        <f>IF('Jelenlét'!N36&gt;1,'Jelenlét'!N36-1 &amp; "x" &amp;'Jelenlét'!$Z36," ")</f>
        <v> </v>
      </c>
      <c r="O10" s="15" t="str">
        <f>IF('Jelenlét'!O36&gt;1,'Jelenlét'!O36-1 &amp; "x" &amp;'Jelenlét'!$Z36," ")</f>
        <v> </v>
      </c>
      <c r="P10" s="15" t="str">
        <f>IF('Jelenlét'!P36&gt;1,'Jelenlét'!P36-1 &amp; "x" &amp;'Jelenlét'!$Z36," ")</f>
        <v> </v>
      </c>
      <c r="Q10" s="15" t="str">
        <f>IF('Jelenlét'!Q36&gt;1,'Jelenlét'!Q36-1 &amp; "x" &amp;'Jelenlét'!$Z36," ")</f>
        <v> </v>
      </c>
      <c r="R10" s="15" t="str">
        <f>IF('Jelenlét'!R36&gt;1,'Jelenlét'!R36-1 &amp; "x" &amp;'Jelenlét'!$Z36," ")</f>
        <v>2x1609,06666666667</v>
      </c>
      <c r="S10" s="15" t="str">
        <f>IF('Jelenlét'!S36&gt;1,'Jelenlét'!S36-1 &amp; "x" &amp;'Jelenlét'!$Z36," ")</f>
        <v> </v>
      </c>
      <c r="T10" s="15" t="str">
        <f>IF('Jelenlét'!T36&gt;1,'Jelenlét'!T36-1 &amp; "x" &amp;'Jelenlét'!$Z36," ")</f>
        <v> </v>
      </c>
      <c r="U10" s="15" t="str">
        <f>IF('Jelenlét'!U36&gt;1,'Jelenlét'!U36-1 &amp; "x" &amp;'Jelenlét'!$Z36," ")</f>
        <v> </v>
      </c>
      <c r="W10" s="19"/>
    </row>
    <row r="11">
      <c r="B11" s="15" t="str">
        <f>IF('Jelenlét'!B37&gt;1,'Jelenlét'!B37-1 &amp; "x" &amp;'Jelenlét'!$Z37," ")</f>
        <v> </v>
      </c>
      <c r="C11" s="15" t="str">
        <f>IF('Jelenlét'!C37&gt;1,'Jelenlét'!C37-1 &amp; "x" &amp;'Jelenlét'!$Z37," ")</f>
        <v> </v>
      </c>
      <c r="D11" s="15" t="str">
        <f>IF('Jelenlét'!D37&gt;1,'Jelenlét'!D37-1 &amp; "x" &amp;'Jelenlét'!$Z37," ")</f>
        <v> </v>
      </c>
      <c r="E11" s="15" t="str">
        <f>IF('Jelenlét'!E37&gt;1,'Jelenlét'!E37-1 &amp; "x" &amp;'Jelenlét'!$Z37," ")</f>
        <v> </v>
      </c>
      <c r="F11" s="15" t="str">
        <f>IF('Jelenlét'!F37&gt;1,'Jelenlét'!F37-1 &amp; "x" &amp;'Jelenlét'!$Z37," ")</f>
        <v>1x2011,33333333333</v>
      </c>
      <c r="G11" s="15" t="str">
        <f>IF('Jelenlét'!G37&gt;1,'Jelenlét'!G37-1 &amp; "x" &amp;'Jelenlét'!$Z37," ")</f>
        <v>1x2011,33333333333</v>
      </c>
      <c r="H11" s="15" t="str">
        <f>IF('Jelenlét'!H37&gt;1,'Jelenlét'!H37-1 &amp; "x" &amp;'Jelenlét'!$Z37," ")</f>
        <v> </v>
      </c>
      <c r="I11" s="15" t="str">
        <f>IF('Jelenlét'!I37&gt;1,'Jelenlét'!I37-1 &amp; "x" &amp;'Jelenlét'!$Z37," ")</f>
        <v> </v>
      </c>
      <c r="J11" s="15" t="str">
        <f>IF('Jelenlét'!J37&gt;1,'Jelenlét'!J37-1 &amp; "x" &amp;'Jelenlét'!$Z37," ")</f>
        <v> </v>
      </c>
      <c r="K11" s="15" t="str">
        <f>IF('Jelenlét'!K37&gt;1,'Jelenlét'!K37-1 &amp; "x" &amp;'Jelenlét'!$Z37," ")</f>
        <v> </v>
      </c>
      <c r="L11" s="15" t="str">
        <f>IF('Jelenlét'!L37&gt;1,'Jelenlét'!L37-1 &amp; "x" &amp;'Jelenlét'!$Z37," ")</f>
        <v> </v>
      </c>
      <c r="M11" s="15" t="str">
        <f>IF('Jelenlét'!M37&gt;1,'Jelenlét'!M37-1 &amp; "x" &amp;'Jelenlét'!$Z37," ")</f>
        <v> </v>
      </c>
      <c r="N11" s="15" t="str">
        <f>IF('Jelenlét'!N37&gt;1,'Jelenlét'!N37-1 &amp; "x" &amp;'Jelenlét'!$Z37," ")</f>
        <v> </v>
      </c>
      <c r="O11" s="15" t="str">
        <f>IF('Jelenlét'!O37&gt;1,'Jelenlét'!O37-1 &amp; "x" &amp;'Jelenlét'!$Z37," ")</f>
        <v> </v>
      </c>
      <c r="P11" s="15" t="str">
        <f>IF('Jelenlét'!P37&gt;1,'Jelenlét'!P37-1 &amp; "x" &amp;'Jelenlét'!$Z37," ")</f>
        <v> </v>
      </c>
      <c r="Q11" s="15" t="str">
        <f>IF('Jelenlét'!Q37&gt;1,'Jelenlét'!Q37-1 &amp; "x" &amp;'Jelenlét'!$Z37," ")</f>
        <v> </v>
      </c>
      <c r="R11" s="15" t="str">
        <f>IF('Jelenlét'!R37&gt;1,'Jelenlét'!R37-1 &amp; "x" &amp;'Jelenlét'!$Z37," ")</f>
        <v> </v>
      </c>
      <c r="S11" s="15" t="str">
        <f>IF('Jelenlét'!S37&gt;1,'Jelenlét'!S37-1 &amp; "x" &amp;'Jelenlét'!$Z37," ")</f>
        <v>2x2011,33333333333</v>
      </c>
      <c r="T11" s="15" t="str">
        <f>IF('Jelenlét'!T37&gt;1,'Jelenlét'!T37-1 &amp; "x" &amp;'Jelenlét'!$Z37," ")</f>
        <v> </v>
      </c>
      <c r="U11" s="15" t="str">
        <f>IF('Jelenlét'!U37&gt;1,'Jelenlét'!U37-1 &amp; "x" &amp;'Jelenlét'!$Z37," ")</f>
        <v> </v>
      </c>
      <c r="W11" s="19"/>
    </row>
    <row r="12">
      <c r="B12" s="15" t="str">
        <f>IF('Jelenlét'!B38&gt;1,'Jelenlét'!B38-1 &amp; "x" &amp;'Jelenlét'!$Z38," ")</f>
        <v> </v>
      </c>
      <c r="C12" s="15" t="str">
        <f>IF('Jelenlét'!C38&gt;1,'Jelenlét'!C38-1 &amp; "x" &amp;'Jelenlét'!$Z38," ")</f>
        <v> </v>
      </c>
      <c r="D12" s="15" t="str">
        <f>IF('Jelenlét'!D38&gt;1,'Jelenlét'!D38-1 &amp; "x" &amp;'Jelenlét'!$Z38," ")</f>
        <v> </v>
      </c>
      <c r="E12" s="15" t="str">
        <f>IF('Jelenlét'!E38&gt;1,'Jelenlét'!E38-1 &amp; "x" &amp;'Jelenlét'!$Z38," ")</f>
        <v> </v>
      </c>
      <c r="F12" s="15" t="str">
        <f>IF('Jelenlét'!F38&gt;1,'Jelenlét'!F38-1 &amp; "x" &amp;'Jelenlét'!$Z38," ")</f>
        <v>1x2011,33333333333</v>
      </c>
      <c r="G12" s="15" t="str">
        <f>IF('Jelenlét'!G38&gt;1,'Jelenlét'!G38-1 &amp; "x" &amp;'Jelenlét'!$Z38," ")</f>
        <v> </v>
      </c>
      <c r="H12" s="15" t="str">
        <f>IF('Jelenlét'!H38&gt;1,'Jelenlét'!H38-1 &amp; "x" &amp;'Jelenlét'!$Z38," ")</f>
        <v> </v>
      </c>
      <c r="I12" s="15" t="str">
        <f>IF('Jelenlét'!I38&gt;1,'Jelenlét'!I38-1 &amp; "x" &amp;'Jelenlét'!$Z38," ")</f>
        <v> </v>
      </c>
      <c r="J12" s="15" t="str">
        <f>IF('Jelenlét'!J38&gt;1,'Jelenlét'!J38-1 &amp; "x" &amp;'Jelenlét'!$Z38," ")</f>
        <v> </v>
      </c>
      <c r="K12" s="15" t="str">
        <f>IF('Jelenlét'!K38&gt;1,'Jelenlét'!K38-1 &amp; "x" &amp;'Jelenlét'!$Z38," ")</f>
        <v> </v>
      </c>
      <c r="L12" s="15" t="str">
        <f>IF('Jelenlét'!L38&gt;1,'Jelenlét'!L38-1 &amp; "x" &amp;'Jelenlét'!$Z38," ")</f>
        <v> </v>
      </c>
      <c r="M12" s="15" t="str">
        <f>IF('Jelenlét'!M38&gt;1,'Jelenlét'!M38-1 &amp; "x" &amp;'Jelenlét'!$Z38," ")</f>
        <v> </v>
      </c>
      <c r="N12" s="15" t="str">
        <f>IF('Jelenlét'!N38&gt;1,'Jelenlét'!N38-1 &amp; "x" &amp;'Jelenlét'!$Z38," ")</f>
        <v> </v>
      </c>
      <c r="O12" s="15" t="str">
        <f>IF('Jelenlét'!O38&gt;1,'Jelenlét'!O38-1 &amp; "x" &amp;'Jelenlét'!$Z38," ")</f>
        <v> </v>
      </c>
      <c r="P12" s="15" t="str">
        <f>IF('Jelenlét'!P38&gt;1,'Jelenlét'!P38-1 &amp; "x" &amp;'Jelenlét'!$Z38," ")</f>
        <v> </v>
      </c>
      <c r="Q12" s="15" t="str">
        <f>IF('Jelenlét'!Q38&gt;1,'Jelenlét'!Q38-1 &amp; "x" &amp;'Jelenlét'!$Z38," ")</f>
        <v> </v>
      </c>
      <c r="R12" s="15" t="str">
        <f>IF('Jelenlét'!R38&gt;1,'Jelenlét'!R38-1 &amp; "x" &amp;'Jelenlét'!$Z38," ")</f>
        <v>5x2011,33333333333</v>
      </c>
      <c r="S12" s="15" t="str">
        <f>IF('Jelenlét'!S38&gt;1,'Jelenlét'!S38-1 &amp; "x" &amp;'Jelenlét'!$Z38," ")</f>
        <v> </v>
      </c>
      <c r="T12" s="15" t="str">
        <f>IF('Jelenlét'!T38&gt;1,'Jelenlét'!T38-1 &amp; "x" &amp;'Jelenlét'!$Z38," ")</f>
        <v> </v>
      </c>
      <c r="U12" s="15" t="str">
        <f>IF('Jelenlét'!U38&gt;1,'Jelenlét'!U38-1 &amp; "x" &amp;'Jelenlét'!$Z38," ")</f>
        <v> </v>
      </c>
      <c r="W12" s="19"/>
    </row>
    <row r="13">
      <c r="B13" s="15" t="str">
        <f>IF('Jelenlét'!B39&gt;1,'Jelenlét'!B39-1 &amp; "x" &amp;'Jelenlét'!$Z39," ")</f>
        <v> </v>
      </c>
      <c r="C13" s="15" t="str">
        <f>IF('Jelenlét'!C39&gt;1,'Jelenlét'!C39-1 &amp; "x" &amp;'Jelenlét'!$Z39," ")</f>
        <v> </v>
      </c>
      <c r="D13" s="15" t="str">
        <f>IF('Jelenlét'!D39&gt;1,'Jelenlét'!D39-1 &amp; "x" &amp;'Jelenlét'!$Z39," ")</f>
        <v>2x2011,33333333333</v>
      </c>
      <c r="E13" s="15" t="str">
        <f>IF('Jelenlét'!E39&gt;1,'Jelenlét'!E39-1 &amp; "x" &amp;'Jelenlét'!$Z39," ")</f>
        <v>1x2011,33333333333</v>
      </c>
      <c r="F13" s="15" t="str">
        <f>IF('Jelenlét'!F39&gt;1,'Jelenlét'!F39-1 &amp; "x" &amp;'Jelenlét'!$Z39," ")</f>
        <v> </v>
      </c>
      <c r="G13" s="15" t="str">
        <f>IF('Jelenlét'!G39&gt;1,'Jelenlét'!G39-1 &amp; "x" &amp;'Jelenlét'!$Z39," ")</f>
        <v> </v>
      </c>
      <c r="H13" s="15" t="str">
        <f>IF('Jelenlét'!H39&gt;1,'Jelenlét'!H39-1 &amp; "x" &amp;'Jelenlét'!$Z39," ")</f>
        <v> </v>
      </c>
      <c r="I13" s="15" t="str">
        <f>IF('Jelenlét'!I39&gt;1,'Jelenlét'!I39-1 &amp; "x" &amp;'Jelenlét'!$Z39," ")</f>
        <v> </v>
      </c>
      <c r="J13" s="15" t="str">
        <f>IF('Jelenlét'!J39&gt;1,'Jelenlét'!J39-1 &amp; "x" &amp;'Jelenlét'!$Z39," ")</f>
        <v> </v>
      </c>
      <c r="K13" s="15" t="str">
        <f>IF('Jelenlét'!K39&gt;1,'Jelenlét'!K39-1 &amp; "x" &amp;'Jelenlét'!$Z39," ")</f>
        <v> </v>
      </c>
      <c r="L13" s="15" t="str">
        <f>IF('Jelenlét'!L39&gt;1,'Jelenlét'!L39-1 &amp; "x" &amp;'Jelenlét'!$Z39," ")</f>
        <v> </v>
      </c>
      <c r="M13" s="15" t="str">
        <f>IF('Jelenlét'!M39&gt;1,'Jelenlét'!M39-1 &amp; "x" &amp;'Jelenlét'!$Z39," ")</f>
        <v> </v>
      </c>
      <c r="N13" s="15" t="str">
        <f>IF('Jelenlét'!N39&gt;1,'Jelenlét'!N39-1 &amp; "x" &amp;'Jelenlét'!$Z39," ")</f>
        <v> </v>
      </c>
      <c r="O13" s="15" t="str">
        <f>IF('Jelenlét'!O39&gt;1,'Jelenlét'!O39-1 &amp; "x" &amp;'Jelenlét'!$Z39," ")</f>
        <v> </v>
      </c>
      <c r="P13" s="15" t="str">
        <f>IF('Jelenlét'!P39&gt;1,'Jelenlét'!P39-1 &amp; "x" &amp;'Jelenlét'!$Z39," ")</f>
        <v> </v>
      </c>
      <c r="Q13" s="15" t="str">
        <f>IF('Jelenlét'!Q39&gt;1,'Jelenlét'!Q39-1 &amp; "x" &amp;'Jelenlét'!$Z39," ")</f>
        <v> </v>
      </c>
      <c r="R13" s="15" t="str">
        <f>IF('Jelenlét'!R39&gt;1,'Jelenlét'!R39-1 &amp; "x" &amp;'Jelenlét'!$Z39," ")</f>
        <v> </v>
      </c>
      <c r="S13" s="15" t="str">
        <f>IF('Jelenlét'!S39&gt;1,'Jelenlét'!S39-1 &amp; "x" &amp;'Jelenlét'!$Z39," ")</f>
        <v> </v>
      </c>
      <c r="T13" s="15" t="str">
        <f>IF('Jelenlét'!T39&gt;1,'Jelenlét'!T39-1 &amp; "x" &amp;'Jelenlét'!$Z39," ")</f>
        <v> </v>
      </c>
      <c r="U13" s="15" t="str">
        <f>IF('Jelenlét'!U39&gt;1,'Jelenlét'!U39-1 &amp; "x" &amp;'Jelenlét'!$Z39," ")</f>
        <v> </v>
      </c>
      <c r="W13" s="19"/>
    </row>
    <row r="14">
      <c r="B14" s="19" t="b">
        <v>0</v>
      </c>
      <c r="C14" s="4" t="b">
        <v>1</v>
      </c>
      <c r="D14" s="4" t="b">
        <v>1</v>
      </c>
      <c r="E14" s="19" t="b">
        <v>0</v>
      </c>
      <c r="F14" s="19" t="b">
        <v>0</v>
      </c>
      <c r="G14" s="4" t="b">
        <v>1</v>
      </c>
      <c r="H14" s="4" t="b">
        <v>1</v>
      </c>
      <c r="I14" s="4" t="b">
        <v>1</v>
      </c>
      <c r="J14" s="4" t="b">
        <v>1</v>
      </c>
      <c r="K14" s="19" t="b">
        <v>0</v>
      </c>
      <c r="L14" s="19" t="b">
        <v>0</v>
      </c>
      <c r="M14" s="19" t="b">
        <v>0</v>
      </c>
      <c r="N14" s="19" t="b">
        <v>0</v>
      </c>
      <c r="O14" s="19" t="b">
        <v>0</v>
      </c>
      <c r="P14" s="19" t="b">
        <v>0</v>
      </c>
      <c r="Q14" s="4" t="b">
        <v>1</v>
      </c>
      <c r="R14" s="19" t="b">
        <v>0</v>
      </c>
      <c r="S14" s="4" t="b">
        <v>1</v>
      </c>
      <c r="T14" s="4" t="b">
        <v>1</v>
      </c>
      <c r="U14" s="4" t="b">
        <v>1</v>
      </c>
      <c r="V14" s="4" t="b">
        <v>1</v>
      </c>
      <c r="W14" s="19"/>
    </row>
    <row r="15">
      <c r="A15" s="14" t="s">
        <v>62</v>
      </c>
      <c r="B15" s="18">
        <f>IF(COUNTIF('Jelenlét'!B40:B43,"&gt;1")=0,SUM('Számolás'!B40:B43),SUM('Számolás'!B40:B43))</f>
        <v>0</v>
      </c>
      <c r="C15" s="18">
        <f>IF(COUNTIF('Jelenlét'!C40:C43,"&gt;1")=0,SUM('Számolás'!C40:C43),SUM('Számolás'!C40:C43))</f>
        <v>0</v>
      </c>
      <c r="D15" s="18">
        <f>IF(COUNTIF('Jelenlét'!D40:D43,"&gt;1")=0,SUM('Számolás'!D40:D43),SUM('Számolás'!D40:D43))</f>
        <v>7387.692308</v>
      </c>
      <c r="E15" s="18">
        <f>IF(COUNTIF('Jelenlét'!E40:E43,"&gt;1")=0,SUM('Számolás'!E40:E43),SUM('Számolás'!E40:E43))</f>
        <v>5540.769231</v>
      </c>
      <c r="F15" s="18">
        <f>IF(COUNTIF('Jelenlét'!F40:F43,"&gt;1")=0,SUM('Számolás'!F40:F43),SUM('Számolás'!F40:F43))</f>
        <v>3847.75641</v>
      </c>
      <c r="G15" s="18">
        <f>IF(COUNTIF('Jelenlét'!G40:G43,"&gt;1")=0,SUM('Számolás'!G40:G43),SUM('Számolás'!G40:G43))</f>
        <v>4001.666667</v>
      </c>
      <c r="H15" s="18">
        <f>IF(COUNTIF('Jelenlét'!H40:H43,"&gt;1")=0,SUM('Számolás'!H40:H43),SUM('Számolás'!H40:H43))</f>
        <v>3847.75641</v>
      </c>
      <c r="I15" s="18">
        <f>IF(COUNTIF('Jelenlét'!I40:I43,"&gt;1")=0,SUM('Számolás'!I40:I43),SUM('Számolás'!I40:I43))</f>
        <v>4001.666667</v>
      </c>
      <c r="J15" s="18">
        <f>IF(COUNTIF('Jelenlét'!J40:J43,"&gt;1")=0,SUM('Számolás'!J40:J43),SUM('Számolás'!J40:J43))</f>
        <v>1846.923077</v>
      </c>
      <c r="K15" s="18">
        <f>IF(COUNTIF('Jelenlét'!K40:K43,"&gt;1")=0,SUM('Számolás'!K40:K43),SUM('Számolás'!K40:K43))</f>
        <v>0</v>
      </c>
      <c r="L15" s="18">
        <f>IF(COUNTIF('Jelenlét'!L40:L43,"&gt;1")=0,SUM('Számolás'!L40:L43),SUM('Számolás'!L40:L43))</f>
        <v>0</v>
      </c>
      <c r="M15" s="18">
        <f>IF(COUNTIF('Jelenlét'!M40:M43,"&gt;1")=0,SUM('Számolás'!M40:M43),SUM('Számolás'!M40:M43))</f>
        <v>0</v>
      </c>
      <c r="N15" s="18">
        <f>IF(COUNTIF('Jelenlét'!N40:N43,"&gt;1")=0,SUM('Számolás'!N40:N43),SUM('Számolás'!N40:N43))</f>
        <v>0</v>
      </c>
      <c r="O15" s="18">
        <f>IF(COUNTIF('Jelenlét'!O40:O43,"&gt;1")=0,SUM('Számolás'!O40:O43),SUM('Számolás'!O40:O43))</f>
        <v>0</v>
      </c>
      <c r="P15" s="18">
        <f>IF(COUNTIF('Jelenlét'!P40:P43,"&gt;1")=0,SUM('Számolás'!P40:P43),SUM('Számolás'!P40:P43))</f>
        <v>0</v>
      </c>
      <c r="Q15" s="18">
        <f>IF(COUNTIF('Jelenlét'!Q40:Q43,"&gt;1")=0,SUM('Számolás'!Q40:Q43),SUM('Számolás'!Q40:Q43))</f>
        <v>1846.923077</v>
      </c>
      <c r="R15" s="18">
        <f>IF(COUNTIF('Jelenlét'!R40:R43,"&gt;1")=0,SUM('Számolás'!R40:R43),SUM('Számolás'!R40:R43))</f>
        <v>21855.25641</v>
      </c>
      <c r="S15" s="18">
        <f>IF(COUNTIF('Jelenlét'!S40:S43,"&gt;1")=0,SUM('Számolás'!S40:S43),SUM('Számolás'!S40:S43))</f>
        <v>10004.16667</v>
      </c>
      <c r="T15" s="18">
        <f>IF(COUNTIF('Jelenlét'!T40:T43,"&gt;1")=0,SUM('Számolás'!T40:T43),SUM('Számolás'!T40:T43))</f>
        <v>1846.923077</v>
      </c>
      <c r="U15" s="18">
        <f>IF(COUNTIF('Jelenlét'!U40:U43,"&gt;1")=0,SUM('Számolás'!U40:U43),SUM('Számolás'!U40:U43))</f>
        <v>4001.666667</v>
      </c>
      <c r="V15" s="18">
        <f>IF(COUNTIF('Jelenlét'!V40:V43,"&gt;1")=0,SUM('Számolás'!V40:V43),SUM('Számolás'!V40:V43))</f>
        <v>2000.833333</v>
      </c>
      <c r="W15" s="18">
        <f>SUM(B15:V15)</f>
        <v>72030</v>
      </c>
    </row>
    <row r="16">
      <c r="B16" s="15" t="str">
        <f>IF('Jelenlét'!B40&gt;1,'Jelenlét'!B40-1 &amp; "x" &amp;'Jelenlét'!$Z40," ")</f>
        <v> </v>
      </c>
      <c r="C16" s="15" t="str">
        <f>IF('Jelenlét'!C40&gt;1,'Jelenlét'!C40-1 &amp; "x" &amp;'Jelenlét'!$Z40," ")</f>
        <v> </v>
      </c>
      <c r="D16" s="15" t="str">
        <f>IF('Jelenlét'!D40&gt;1,'Jelenlét'!D40-1 &amp; "x" &amp;'Jelenlét'!$Z40," ")</f>
        <v>3x1846,92307692308</v>
      </c>
      <c r="E16" s="15" t="str">
        <f>IF('Jelenlét'!E40&gt;1,'Jelenlét'!E40-1 &amp; "x" &amp;'Jelenlét'!$Z40," ")</f>
        <v>2x1846,92307692308</v>
      </c>
      <c r="F16" s="15" t="str">
        <f>IF('Jelenlét'!F40&gt;1,'Jelenlét'!F40-1 &amp; "x" &amp;'Jelenlét'!$Z40," ")</f>
        <v> </v>
      </c>
      <c r="G16" s="15" t="str">
        <f>IF('Jelenlét'!G40&gt;1,'Jelenlét'!G40-1 &amp; "x" &amp;'Jelenlét'!$Z40," ")</f>
        <v> </v>
      </c>
      <c r="H16" s="15" t="str">
        <f>IF('Jelenlét'!H40&gt;1,'Jelenlét'!H40-1 &amp; "x" &amp;'Jelenlét'!$Z40," ")</f>
        <v> </v>
      </c>
      <c r="I16" s="15" t="str">
        <f>IF('Jelenlét'!I40&gt;1,'Jelenlét'!I40-1 &amp; "x" &amp;'Jelenlét'!$Z40," ")</f>
        <v> </v>
      </c>
      <c r="J16" s="15" t="str">
        <f>IF('Jelenlét'!J40&gt;1,'Jelenlét'!J40-1 &amp; "x" &amp;'Jelenlét'!$Z40," ")</f>
        <v> </v>
      </c>
      <c r="K16" s="15" t="str">
        <f>IF('Jelenlét'!K40&gt;1,'Jelenlét'!K40-1 &amp; "x" &amp;'Jelenlét'!$Z40," ")</f>
        <v> </v>
      </c>
      <c r="L16" s="15" t="str">
        <f>IF('Jelenlét'!L40&gt;1,'Jelenlét'!L40-1 &amp; "x" &amp;'Jelenlét'!$Z40," ")</f>
        <v> </v>
      </c>
      <c r="M16" s="15" t="str">
        <f>IF('Jelenlét'!M40&gt;1,'Jelenlét'!M40-1 &amp; "x" &amp;'Jelenlét'!$Z40," ")</f>
        <v> </v>
      </c>
      <c r="N16" s="15" t="str">
        <f>IF('Jelenlét'!N40&gt;1,'Jelenlét'!N40-1 &amp; "x" &amp;'Jelenlét'!$Z40," ")</f>
        <v> </v>
      </c>
      <c r="O16" s="15" t="str">
        <f>IF('Jelenlét'!O40&gt;1,'Jelenlét'!O40-1 &amp; "x" &amp;'Jelenlét'!$Z40," ")</f>
        <v> </v>
      </c>
      <c r="P16" s="15" t="str">
        <f>IF('Jelenlét'!P40&gt;1,'Jelenlét'!P40-1 &amp; "x" &amp;'Jelenlét'!$Z40," ")</f>
        <v> </v>
      </c>
      <c r="Q16" s="15" t="str">
        <f>IF('Jelenlét'!Q40&gt;1,'Jelenlét'!Q40-1 &amp; "x" &amp;'Jelenlét'!$Z40," ")</f>
        <v> </v>
      </c>
      <c r="R16" s="15" t="str">
        <f>IF('Jelenlét'!R40&gt;1,'Jelenlét'!R40-1 &amp; "x" &amp;'Jelenlét'!$Z40," ")</f>
        <v> </v>
      </c>
      <c r="S16" s="15" t="str">
        <f>IF('Jelenlét'!S40&gt;1,'Jelenlét'!S40-1 &amp; "x" &amp;'Jelenlét'!$Z40," ")</f>
        <v> </v>
      </c>
      <c r="T16" s="15" t="str">
        <f>IF('Jelenlét'!T40&gt;1,'Jelenlét'!T40-1 &amp; "x" &amp;'Jelenlét'!$Z40," ")</f>
        <v> </v>
      </c>
      <c r="U16" s="15" t="str">
        <f>IF('Jelenlét'!U40&gt;1,'Jelenlét'!U40-1 &amp; "x" &amp;'Jelenlét'!$Z40," ")</f>
        <v> </v>
      </c>
      <c r="V16" s="15" t="str">
        <f>IF('Jelenlét'!V40&gt;1,'Jelenlét'!V40-1 &amp; "x" &amp;'Jelenlét'!$Z40," ")</f>
        <v> </v>
      </c>
    </row>
    <row r="17">
      <c r="B17" s="15" t="str">
        <f>IF('Jelenlét'!B41&gt;1,'Jelenlét'!B41-1 &amp; "x" &amp;'Jelenlét'!$Z41," ")</f>
        <v> </v>
      </c>
      <c r="C17" s="15" t="str">
        <f>IF('Jelenlét'!C41&gt;1,'Jelenlét'!C41-1 &amp; "x" &amp;'Jelenlét'!$Z41," ")</f>
        <v> </v>
      </c>
      <c r="D17" s="15" t="str">
        <f>IF('Jelenlét'!D41&gt;1,'Jelenlét'!D41-1 &amp; "x" &amp;'Jelenlét'!$Z41," ")</f>
        <v> </v>
      </c>
      <c r="E17" s="15" t="str">
        <f>IF('Jelenlét'!E41&gt;1,'Jelenlét'!E41-1 &amp; "x" &amp;'Jelenlét'!$Z41," ")</f>
        <v> </v>
      </c>
      <c r="F17" s="15" t="str">
        <f>IF('Jelenlét'!F41&gt;1,'Jelenlét'!F41-1 &amp; "x" &amp;'Jelenlét'!$Z41," ")</f>
        <v> </v>
      </c>
      <c r="G17" s="15" t="str">
        <f>IF('Jelenlét'!G41&gt;1,'Jelenlét'!G41-1 &amp; "x" &amp;'Jelenlét'!$Z41," ")</f>
        <v> </v>
      </c>
      <c r="H17" s="15" t="str">
        <f>IF('Jelenlét'!H41&gt;1,'Jelenlét'!H41-1 &amp; "x" &amp;'Jelenlét'!$Z41," ")</f>
        <v> </v>
      </c>
      <c r="I17" s="15" t="str">
        <f>IF('Jelenlét'!I41&gt;1,'Jelenlét'!I41-1 &amp; "x" &amp;'Jelenlét'!$Z41," ")</f>
        <v> </v>
      </c>
      <c r="J17" s="15" t="str">
        <f>IF('Jelenlét'!J41&gt;1,'Jelenlét'!J41-1 &amp; "x" &amp;'Jelenlét'!$Z41," ")</f>
        <v> </v>
      </c>
      <c r="K17" s="15" t="str">
        <f>IF('Jelenlét'!K41&gt;1,'Jelenlét'!K41-1 &amp; "x" &amp;'Jelenlét'!$Z41," ")</f>
        <v> </v>
      </c>
      <c r="L17" s="15" t="str">
        <f>IF('Jelenlét'!L41&gt;1,'Jelenlét'!L41-1 &amp; "x" &amp;'Jelenlét'!$Z41," ")</f>
        <v> </v>
      </c>
      <c r="M17" s="15" t="str">
        <f>IF('Jelenlét'!M41&gt;1,'Jelenlét'!M41-1 &amp; "x" &amp;'Jelenlét'!$Z41," ")</f>
        <v> </v>
      </c>
      <c r="N17" s="15" t="str">
        <f>IF('Jelenlét'!N41&gt;1,'Jelenlét'!N41-1 &amp; "x" &amp;'Jelenlét'!$Z41," ")</f>
        <v> </v>
      </c>
      <c r="O17" s="15" t="str">
        <f>IF('Jelenlét'!O41&gt;1,'Jelenlét'!O41-1 &amp; "x" &amp;'Jelenlét'!$Z41," ")</f>
        <v> </v>
      </c>
      <c r="P17" s="15" t="str">
        <f>IF('Jelenlét'!P41&gt;1,'Jelenlét'!P41-1 &amp; "x" &amp;'Jelenlét'!$Z41," ")</f>
        <v> </v>
      </c>
      <c r="Q17" s="15" t="str">
        <f>IF('Jelenlét'!Q41&gt;1,'Jelenlét'!Q41-1 &amp; "x" &amp;'Jelenlét'!$Z41," ")</f>
        <v> </v>
      </c>
      <c r="R17" s="15" t="str">
        <f>IF('Jelenlét'!R41&gt;1,'Jelenlét'!R41-1 &amp; "x" &amp;'Jelenlét'!$Z41," ")</f>
        <v>3x2000,83333333333</v>
      </c>
      <c r="S17" s="15" t="str">
        <f>IF('Jelenlét'!S41&gt;1,'Jelenlét'!S41-1 &amp; "x" &amp;'Jelenlét'!$Z41," ")</f>
        <v>1x2000,83333333333</v>
      </c>
      <c r="T17" s="15" t="str">
        <f>IF('Jelenlét'!T41&gt;1,'Jelenlét'!T41-1 &amp; "x" &amp;'Jelenlét'!$Z41," ")</f>
        <v> </v>
      </c>
      <c r="U17" s="15" t="str">
        <f>IF('Jelenlét'!U41&gt;1,'Jelenlét'!U41-1 &amp; "x" &amp;'Jelenlét'!$Z41," ")</f>
        <v> </v>
      </c>
      <c r="V17" s="15" t="str">
        <f>IF('Jelenlét'!V41&gt;1,'Jelenlét'!V41-1 &amp; "x" &amp;'Jelenlét'!$Z41," ")</f>
        <v> </v>
      </c>
    </row>
    <row r="18">
      <c r="B18" s="15" t="str">
        <f>IF('Jelenlét'!B42&gt;1,'Jelenlét'!B42-1 &amp; "x" &amp;'Jelenlét'!$Z42," ")</f>
        <v> </v>
      </c>
      <c r="C18" s="15" t="str">
        <f>IF('Jelenlét'!C42&gt;1,'Jelenlét'!C42-1 &amp; "x" &amp;'Jelenlét'!$Z42," ")</f>
        <v> </v>
      </c>
      <c r="D18" s="15" t="str">
        <f>IF('Jelenlét'!D42&gt;1,'Jelenlét'!D42-1 &amp; "x" &amp;'Jelenlét'!$Z42," ")</f>
        <v> </v>
      </c>
      <c r="E18" s="15" t="str">
        <f>IF('Jelenlét'!E42&gt;1,'Jelenlét'!E42-1 &amp; "x" &amp;'Jelenlét'!$Z42," ")</f>
        <v> </v>
      </c>
      <c r="F18" s="15" t="str">
        <f>IF('Jelenlét'!F42&gt;1,'Jelenlét'!F42-1 &amp; "x" &amp;'Jelenlét'!$Z42," ")</f>
        <v> </v>
      </c>
      <c r="G18" s="15" t="str">
        <f>IF('Jelenlét'!G42&gt;1,'Jelenlét'!G42-1 &amp; "x" &amp;'Jelenlét'!$Z42," ")</f>
        <v> </v>
      </c>
      <c r="H18" s="15" t="str">
        <f>IF('Jelenlét'!H42&gt;1,'Jelenlét'!H42-1 &amp; "x" &amp;'Jelenlét'!$Z42," ")</f>
        <v> </v>
      </c>
      <c r="I18" s="15" t="str">
        <f>IF('Jelenlét'!I42&gt;1,'Jelenlét'!I42-1 &amp; "x" &amp;'Jelenlét'!$Z42," ")</f>
        <v> </v>
      </c>
      <c r="J18" s="15" t="str">
        <f>IF('Jelenlét'!J42&gt;1,'Jelenlét'!J42-1 &amp; "x" &amp;'Jelenlét'!$Z42," ")</f>
        <v> </v>
      </c>
      <c r="K18" s="15" t="str">
        <f>IF('Jelenlét'!K42&gt;1,'Jelenlét'!K42-1 &amp; "x" &amp;'Jelenlét'!$Z42," ")</f>
        <v> </v>
      </c>
      <c r="L18" s="15" t="str">
        <f>IF('Jelenlét'!L42&gt;1,'Jelenlét'!L42-1 &amp; "x" &amp;'Jelenlét'!$Z42," ")</f>
        <v> </v>
      </c>
      <c r="M18" s="15" t="str">
        <f>IF('Jelenlét'!M42&gt;1,'Jelenlét'!M42-1 &amp; "x" &amp;'Jelenlét'!$Z42," ")</f>
        <v> </v>
      </c>
      <c r="N18" s="15" t="str">
        <f>IF('Jelenlét'!N42&gt;1,'Jelenlét'!N42-1 &amp; "x" &amp;'Jelenlét'!$Z42," ")</f>
        <v> </v>
      </c>
      <c r="O18" s="15" t="str">
        <f>IF('Jelenlét'!O42&gt;1,'Jelenlét'!O42-1 &amp; "x" &amp;'Jelenlét'!$Z42," ")</f>
        <v> </v>
      </c>
      <c r="P18" s="15" t="str">
        <f>IF('Jelenlét'!P42&gt;1,'Jelenlét'!P42-1 &amp; "x" &amp;'Jelenlét'!$Z42," ")</f>
        <v> </v>
      </c>
      <c r="Q18" s="15" t="str">
        <f>IF('Jelenlét'!Q42&gt;1,'Jelenlét'!Q42-1 &amp; "x" &amp;'Jelenlét'!$Z42," ")</f>
        <v> </v>
      </c>
      <c r="R18" s="15" t="str">
        <f>IF('Jelenlét'!R42&gt;1,'Jelenlét'!R42-1 &amp; "x" &amp;'Jelenlét'!$Z42," ")</f>
        <v> </v>
      </c>
      <c r="S18" s="15" t="str">
        <f>IF('Jelenlét'!S42&gt;1,'Jelenlét'!S42-1 &amp; "x" &amp;'Jelenlét'!$Z42," ")</f>
        <v> </v>
      </c>
      <c r="T18" s="15" t="str">
        <f>IF('Jelenlét'!T42&gt;1,'Jelenlét'!T42-1 &amp; "x" &amp;'Jelenlét'!$Z42," ")</f>
        <v> </v>
      </c>
      <c r="U18" s="15" t="str">
        <f>IF('Jelenlét'!U42&gt;1,'Jelenlét'!U42-1 &amp; "x" &amp;'Jelenlét'!$Z42," ")</f>
        <v> </v>
      </c>
      <c r="V18" s="15" t="str">
        <f>IF('Jelenlét'!V42&gt;1,'Jelenlét'!V42-1 &amp; "x" &amp;'Jelenlét'!$Z42," ")</f>
        <v> </v>
      </c>
    </row>
    <row r="19">
      <c r="B19" s="15" t="str">
        <f>IF('Jelenlét'!B43&gt;1,'Jelenlét'!B43-1 &amp; "x" &amp;'Jelenlét'!$Z43," ")</f>
        <v> </v>
      </c>
      <c r="C19" s="15" t="str">
        <f>IF('Jelenlét'!C43&gt;1,'Jelenlét'!C43-1 &amp; "x" &amp;'Jelenlét'!$Z43," ")</f>
        <v> </v>
      </c>
      <c r="D19" s="15" t="str">
        <f>IF('Jelenlét'!D43&gt;1,'Jelenlét'!D43-1 &amp; "x" &amp;'Jelenlét'!$Z43," ")</f>
        <v> </v>
      </c>
      <c r="E19" s="15" t="str">
        <f>IF('Jelenlét'!E43&gt;1,'Jelenlét'!E43-1 &amp; "x" &amp;'Jelenlét'!$Z43," ")</f>
        <v> </v>
      </c>
      <c r="F19" s="15" t="str">
        <f>IF('Jelenlét'!F43&gt;1,'Jelenlét'!F43-1 &amp; "x" &amp;'Jelenlét'!$Z43," ")</f>
        <v> </v>
      </c>
      <c r="G19" s="15" t="str">
        <f>IF('Jelenlét'!G43&gt;1,'Jelenlét'!G43-1 &amp; "x" &amp;'Jelenlét'!$Z43," ")</f>
        <v> </v>
      </c>
      <c r="H19" s="15" t="str">
        <f>IF('Jelenlét'!H43&gt;1,'Jelenlét'!H43-1 &amp; "x" &amp;'Jelenlét'!$Z43," ")</f>
        <v> </v>
      </c>
      <c r="I19" s="15" t="str">
        <f>IF('Jelenlét'!I43&gt;1,'Jelenlét'!I43-1 &amp; "x" &amp;'Jelenlét'!$Z43," ")</f>
        <v> </v>
      </c>
      <c r="J19" s="15" t="str">
        <f>IF('Jelenlét'!J43&gt;1,'Jelenlét'!J43-1 &amp; "x" &amp;'Jelenlét'!$Z43," ")</f>
        <v> </v>
      </c>
      <c r="K19" s="15" t="str">
        <f>IF('Jelenlét'!K43&gt;1,'Jelenlét'!K43-1 &amp; "x" &amp;'Jelenlét'!$Z43," ")</f>
        <v> </v>
      </c>
      <c r="L19" s="15" t="str">
        <f>IF('Jelenlét'!L43&gt;1,'Jelenlét'!L43-1 &amp; "x" &amp;'Jelenlét'!$Z43," ")</f>
        <v> </v>
      </c>
      <c r="M19" s="15" t="str">
        <f>IF('Jelenlét'!M43&gt;1,'Jelenlét'!M43-1 &amp; "x" &amp;'Jelenlét'!$Z43," ")</f>
        <v> </v>
      </c>
      <c r="N19" s="15" t="str">
        <f>IF('Jelenlét'!N43&gt;1,'Jelenlét'!N43-1 &amp; "x" &amp;'Jelenlét'!$Z43," ")</f>
        <v> </v>
      </c>
      <c r="O19" s="15" t="str">
        <f>IF('Jelenlét'!O43&gt;1,'Jelenlét'!O43-1 &amp; "x" &amp;'Jelenlét'!$Z43," ")</f>
        <v> </v>
      </c>
      <c r="P19" s="15" t="str">
        <f>IF('Jelenlét'!P43&gt;1,'Jelenlét'!P43-1 &amp; "x" &amp;'Jelenlét'!$Z43," ")</f>
        <v> </v>
      </c>
      <c r="Q19" s="15" t="str">
        <f>IF('Jelenlét'!Q43&gt;1,'Jelenlét'!Q43-1 &amp; "x" &amp;'Jelenlét'!$Z43," ")</f>
        <v> </v>
      </c>
      <c r="R19" s="15" t="str">
        <f>IF('Jelenlét'!R43&gt;1,'Jelenlét'!R43-1 &amp; "x" &amp;'Jelenlét'!$Z43," ")</f>
        <v>5x2000,83333333333</v>
      </c>
      <c r="S19" s="15" t="str">
        <f>IF('Jelenlét'!S43&gt;1,'Jelenlét'!S43-1 &amp; "x" &amp;'Jelenlét'!$Z43," ")</f>
        <v>2x2000,83333333333</v>
      </c>
      <c r="T19" s="15" t="str">
        <f>IF('Jelenlét'!T43&gt;1,'Jelenlét'!T43-1 &amp; "x" &amp;'Jelenlét'!$Z43," ")</f>
        <v> </v>
      </c>
      <c r="U19" s="15" t="str">
        <f>IF('Jelenlét'!U43&gt;1,'Jelenlét'!U43-1 &amp; "x" &amp;'Jelenlét'!$Z43," ")</f>
        <v> </v>
      </c>
      <c r="V19" s="15" t="str">
        <f>IF('Jelenlét'!V43&gt;1,'Jelenlét'!V43-1 &amp; "x" &amp;'Jelenlét'!$Z43," ")</f>
        <v> </v>
      </c>
    </row>
    <row r="20">
      <c r="A20" s="19"/>
      <c r="B20" s="19" t="b">
        <v>0</v>
      </c>
      <c r="C20" s="19" t="b">
        <v>0</v>
      </c>
      <c r="D20" s="4" t="b">
        <v>1</v>
      </c>
      <c r="E20" s="4" t="b">
        <v>0</v>
      </c>
      <c r="F20" s="4" t="b">
        <v>1</v>
      </c>
      <c r="G20" s="4" t="b">
        <v>1</v>
      </c>
      <c r="H20" s="4" t="b">
        <v>1</v>
      </c>
      <c r="I20" s="4" t="b">
        <v>1</v>
      </c>
      <c r="J20" s="4" t="b">
        <v>1</v>
      </c>
      <c r="K20" s="19" t="b">
        <v>0</v>
      </c>
      <c r="L20" s="19" t="b">
        <v>0</v>
      </c>
      <c r="M20" s="19" t="b">
        <v>0</v>
      </c>
      <c r="N20" s="19" t="b">
        <v>0</v>
      </c>
      <c r="O20" s="19" t="b">
        <v>0</v>
      </c>
      <c r="P20" s="19" t="b">
        <v>0</v>
      </c>
      <c r="Q20" s="4" t="b">
        <v>0</v>
      </c>
      <c r="R20" s="19" t="b">
        <v>0</v>
      </c>
      <c r="S20" s="4" t="b">
        <v>1</v>
      </c>
      <c r="T20" s="4" t="b">
        <v>1</v>
      </c>
      <c r="U20" s="4" t="b">
        <v>1</v>
      </c>
      <c r="V20" s="4" t="b">
        <v>1</v>
      </c>
    </row>
    <row r="21">
      <c r="A21" s="14" t="s">
        <v>63</v>
      </c>
      <c r="B21" s="18">
        <f>IF(COUNTIF('Jelenlét'!B44:B48,"&gt;1")=0,SUM('Számolás'!B44:B48),SUM('Számolás'!B44:B48))</f>
        <v>0</v>
      </c>
      <c r="C21" s="18">
        <f>IF(COUNTIF('Jelenlét'!C44:C48,"&gt;1")=0,SUM('Számolás'!C44:C48),SUM('Számolás'!C44:C48))</f>
        <v>3867.809524</v>
      </c>
      <c r="D21" s="18">
        <f>IF(COUNTIF('Jelenlét'!D44:D48,"&gt;1")=0,SUM('Számolás'!D44:D48),SUM('Számolás'!D44:D48))</f>
        <v>9591.085714</v>
      </c>
      <c r="E21" s="18">
        <f>IF(COUNTIF('Jelenlét'!E44:E48,"&gt;1")=0,SUM('Számolás'!E44:E48),SUM('Számolás'!E44:E48))</f>
        <v>7140.571429</v>
      </c>
      <c r="F21" s="18">
        <f>IF(COUNTIF('Jelenlét'!F44:F48,"&gt;1")=0,SUM('Számolás'!F44:F48),SUM('Számolás'!F44:F48))</f>
        <v>5723.27619</v>
      </c>
      <c r="G21" s="18">
        <f>IF(COUNTIF('Jelenlét'!G44:G48,"&gt;1")=0,SUM('Számolás'!G44:G48),SUM('Számolás'!G44:G48))</f>
        <v>13161.37143</v>
      </c>
      <c r="H21" s="18">
        <f>IF(COUNTIF('Jelenlét'!H44:H48,"&gt;1")=0,SUM('Számolás'!H44:H48),SUM('Számolás'!H44:H48))</f>
        <v>5236.419048</v>
      </c>
      <c r="I21" s="18">
        <f>IF(COUNTIF('Jelenlét'!I44:I48,"&gt;1")=0,SUM('Számolás'!I44:I48),SUM('Számolás'!I44:I48))</f>
        <v>9591.085714</v>
      </c>
      <c r="J21" s="18">
        <f>IF(COUNTIF('Jelenlét'!J44:J48,"&gt;1")=0,SUM('Számolás'!J44:J48),SUM('Számolás'!J44:J48))</f>
        <v>9591.085714</v>
      </c>
      <c r="K21" s="18">
        <f>IF(COUNTIF('Jelenlét'!K44:K48,"&gt;1")=0,SUM('Számolás'!K44:K48),SUM('Számolás'!K44:K48))</f>
        <v>0</v>
      </c>
      <c r="L21" s="18">
        <f>IF(COUNTIF('Jelenlét'!L44:L48,"&gt;1")=0,SUM('Számolás'!L44:L48),SUM('Számolás'!L44:L48))</f>
        <v>0</v>
      </c>
      <c r="M21" s="18">
        <f>IF(COUNTIF('Jelenlét'!M44:M48,"&gt;1")=0,SUM('Számolás'!M44:M48),SUM('Számolás'!M44:M48))</f>
        <v>0</v>
      </c>
      <c r="N21" s="18">
        <f>IF(COUNTIF('Jelenlét'!N44:N48,"&gt;1")=0,SUM('Számolás'!N44:N48),SUM('Számolás'!N44:N48))</f>
        <v>0</v>
      </c>
      <c r="O21" s="18">
        <f>IF(COUNTIF('Jelenlét'!O44:O48,"&gt;1")=0,SUM('Számolás'!O44:O48),SUM('Számolás'!O44:O48))</f>
        <v>0</v>
      </c>
      <c r="P21" s="18">
        <f>IF(COUNTIF('Jelenlét'!P44:P48,"&gt;1")=0,SUM('Számolás'!P44:P48),SUM('Számolás'!P44:P48))</f>
        <v>0</v>
      </c>
      <c r="Q21" s="18">
        <f>IF(COUNTIF('Jelenlét'!Q44:Q48,"&gt;1")=0,SUM('Számolás'!Q44:Q48),SUM('Számolás'!Q44:Q48))</f>
        <v>1785.142857</v>
      </c>
      <c r="R21" s="18">
        <f>IF(COUNTIF('Jelenlét'!R44:R48,"&gt;1")=0,SUM('Számolás'!R44:R48),SUM('Számolás'!R44:R48))</f>
        <v>23228.49524</v>
      </c>
      <c r="S21" s="18">
        <f>IF(COUNTIF('Jelenlét'!S44:S48,"&gt;1")=0,SUM('Számolás'!S44:S48),SUM('Számolás'!S44:S48))</f>
        <v>15730.89524</v>
      </c>
      <c r="T21" s="18">
        <f>IF(COUNTIF('Jelenlét'!T44:T48,"&gt;1")=0,SUM('Számolás'!T44:T48),SUM('Számolás'!T44:T48))</f>
        <v>1666.133333</v>
      </c>
      <c r="U21" s="18">
        <f>IF(COUNTIF('Jelenlét'!U44:U48,"&gt;1")=0,SUM('Számolás'!U44:U48),SUM('Számolás'!U44:U48))</f>
        <v>5723.27619</v>
      </c>
      <c r="V21" s="18">
        <f>IF(COUNTIF('Jelenlét'!V44:V48,"&gt;1")=0,SUM('Számolás'!V44:V48),SUM('Számolás'!V44:V48))</f>
        <v>12923.35238</v>
      </c>
      <c r="W21" s="18">
        <f>SUM(B21:V21)</f>
        <v>124960</v>
      </c>
    </row>
    <row r="22">
      <c r="B22" s="15" t="str">
        <f>IF('Jelenlét'!B46&gt;1,'Jelenlét'!B46-1 &amp; "x" &amp;'Jelenlét'!$Z46," ")</f>
        <v> </v>
      </c>
      <c r="C22" s="15" t="str">
        <f>IF('Jelenlét'!C46&gt;1,'Jelenlét'!C46-1 &amp; "x" &amp;'Jelenlét'!$Z46," ")</f>
        <v> </v>
      </c>
      <c r="D22" s="15" t="str">
        <f>IF('Jelenlét'!D46&gt;1,'Jelenlét'!D46-1 &amp; "x" &amp;'Jelenlét'!$Z46," ")</f>
        <v> </v>
      </c>
      <c r="E22" s="15" t="str">
        <f>IF('Jelenlét'!E46&gt;1,'Jelenlét'!E46-1 &amp; "x" &amp;'Jelenlét'!$Z46," ")</f>
        <v>1x1785,14285714286</v>
      </c>
      <c r="F22" s="15" t="str">
        <f>IF('Jelenlét'!F46&gt;1,'Jelenlét'!F46-1 &amp; "x" &amp;'Jelenlét'!$Z46," ")</f>
        <v> </v>
      </c>
      <c r="G22" s="15" t="str">
        <f>IF('Jelenlét'!G46&gt;1,'Jelenlét'!G46-1 &amp; "x" &amp;'Jelenlét'!$Z46," ")</f>
        <v>1x1785,14285714286</v>
      </c>
      <c r="H22" s="15" t="str">
        <f>IF('Jelenlét'!H46&gt;1,'Jelenlét'!H46-1 &amp; "x" &amp;'Jelenlét'!$Z46," ")</f>
        <v> </v>
      </c>
      <c r="I22" s="15" t="str">
        <f>IF('Jelenlét'!I46&gt;1,'Jelenlét'!I46-1 &amp; "x" &amp;'Jelenlét'!$Z46," ")</f>
        <v> </v>
      </c>
      <c r="J22" s="15" t="str">
        <f>IF('Jelenlét'!J46&gt;1,'Jelenlét'!J46-1 &amp; "x" &amp;'Jelenlét'!$Z46," ")</f>
        <v> </v>
      </c>
      <c r="K22" s="15" t="str">
        <f>IF('Jelenlét'!K46&gt;1,'Jelenlét'!K46-1 &amp; "x" &amp;'Jelenlét'!$Z46," ")</f>
        <v> </v>
      </c>
      <c r="L22" s="15" t="str">
        <f>IF('Jelenlét'!L46&gt;1,'Jelenlét'!L46-1 &amp; "x" &amp;'Jelenlét'!$Z46," ")</f>
        <v> </v>
      </c>
      <c r="M22" s="15" t="str">
        <f>IF('Jelenlét'!M46&gt;1,'Jelenlét'!M46-1 &amp; "x" &amp;'Jelenlét'!$Z46," ")</f>
        <v> </v>
      </c>
      <c r="N22" s="15" t="str">
        <f>IF('Jelenlét'!N46&gt;1,'Jelenlét'!N46-1 &amp; "x" &amp;'Jelenlét'!$Z46," ")</f>
        <v> </v>
      </c>
      <c r="O22" s="15" t="str">
        <f>IF('Jelenlét'!O46&gt;1,'Jelenlét'!O46-1 &amp; "x" &amp;'Jelenlét'!$Z46," ")</f>
        <v> </v>
      </c>
      <c r="P22" s="15" t="str">
        <f>IF('Jelenlét'!P46&gt;1,'Jelenlét'!P46-1 &amp; "x" &amp;'Jelenlét'!$Z46," ")</f>
        <v> </v>
      </c>
      <c r="Q22" s="15" t="str">
        <f>IF('Jelenlét'!Q46&gt;1,'Jelenlét'!Q46-1 &amp; "x" &amp;'Jelenlét'!$Z46," ")</f>
        <v> </v>
      </c>
      <c r="R22" s="15" t="str">
        <f>IF('Jelenlét'!R46&gt;1,'Jelenlét'!R46-1 &amp; "x" &amp;'Jelenlét'!$Z46," ")</f>
        <v>1x1785,14285714286</v>
      </c>
      <c r="S22" s="15" t="str">
        <f>IF('Jelenlét'!S46&gt;1,'Jelenlét'!S46-1 &amp; "x" &amp;'Jelenlét'!$Z46," ")</f>
        <v>1x1785,14285714286</v>
      </c>
      <c r="T22" s="15" t="str">
        <f>IF('Jelenlét'!T46&gt;1,'Jelenlét'!T46-1 &amp; "x" &amp;'Jelenlét'!$Z46," ")</f>
        <v> </v>
      </c>
      <c r="U22" s="15" t="str">
        <f>IF('Jelenlét'!U46&gt;1,'Jelenlét'!U46-1 &amp; "x" &amp;'Jelenlét'!$Z46," ")</f>
        <v> </v>
      </c>
      <c r="V22" s="15" t="str">
        <f>IF('Jelenlét'!V46&gt;1,'Jelenlét'!V46-1 &amp; "x" &amp;'Jelenlét'!$Z46," ")</f>
        <v> </v>
      </c>
    </row>
    <row r="23">
      <c r="B23" s="15" t="str">
        <f>IF('Jelenlét'!B47&gt;1,'Jelenlét'!B47-1 &amp; "x" &amp;'Jelenlét'!$Z47," ")</f>
        <v> </v>
      </c>
      <c r="C23" s="15" t="str">
        <f>IF('Jelenlét'!C47&gt;1,'Jelenlét'!C47-1 &amp; "x" &amp;'Jelenlét'!$Z47," ")</f>
        <v> </v>
      </c>
      <c r="D23" s="15" t="str">
        <f>IF('Jelenlét'!D47&gt;1,'Jelenlét'!D47-1 &amp; "x" &amp;'Jelenlét'!$Z47," ")</f>
        <v> </v>
      </c>
      <c r="E23" s="15" t="str">
        <f>IF('Jelenlét'!E47&gt;1,'Jelenlét'!E47-1 &amp; "x" &amp;'Jelenlét'!$Z47," ")</f>
        <v>1x1785,14285714286</v>
      </c>
      <c r="F23" s="15" t="str">
        <f>IF('Jelenlét'!F47&gt;1,'Jelenlét'!F47-1 &amp; "x" &amp;'Jelenlét'!$Z47," ")</f>
        <v> </v>
      </c>
      <c r="G23" s="15" t="str">
        <f>IF('Jelenlét'!G47&gt;1,'Jelenlét'!G47-1 &amp; "x" &amp;'Jelenlét'!$Z47," ")</f>
        <v>1x1785,14285714286</v>
      </c>
      <c r="H23" s="15" t="str">
        <f>IF('Jelenlét'!H47&gt;1,'Jelenlét'!H47-1 &amp; "x" &amp;'Jelenlét'!$Z47," ")</f>
        <v> </v>
      </c>
      <c r="I23" s="15" t="str">
        <f>IF('Jelenlét'!I47&gt;1,'Jelenlét'!I47-1 &amp; "x" &amp;'Jelenlét'!$Z47," ")</f>
        <v> </v>
      </c>
      <c r="J23" s="15" t="str">
        <f>IF('Jelenlét'!J47&gt;1,'Jelenlét'!J47-1 &amp; "x" &amp;'Jelenlét'!$Z47," ")</f>
        <v> </v>
      </c>
      <c r="K23" s="15" t="str">
        <f>IF('Jelenlét'!K47&gt;1,'Jelenlét'!K47-1 &amp; "x" &amp;'Jelenlét'!$Z47," ")</f>
        <v> </v>
      </c>
      <c r="L23" s="15" t="str">
        <f>IF('Jelenlét'!L47&gt;1,'Jelenlét'!L47-1 &amp; "x" &amp;'Jelenlét'!$Z47," ")</f>
        <v> </v>
      </c>
      <c r="M23" s="15" t="str">
        <f>IF('Jelenlét'!M47&gt;1,'Jelenlét'!M47-1 &amp; "x" &amp;'Jelenlét'!$Z47," ")</f>
        <v> </v>
      </c>
      <c r="N23" s="15" t="str">
        <f>IF('Jelenlét'!N47&gt;1,'Jelenlét'!N47-1 &amp; "x" &amp;'Jelenlét'!$Z47," ")</f>
        <v> </v>
      </c>
      <c r="O23" s="15" t="str">
        <f>IF('Jelenlét'!O47&gt;1,'Jelenlét'!O47-1 &amp; "x" &amp;'Jelenlét'!$Z47," ")</f>
        <v> </v>
      </c>
      <c r="P23" s="15" t="str">
        <f>IF('Jelenlét'!P47&gt;1,'Jelenlét'!P47-1 &amp; "x" &amp;'Jelenlét'!$Z47," ")</f>
        <v> </v>
      </c>
      <c r="Q23" s="15" t="str">
        <f>IF('Jelenlét'!Q47&gt;1,'Jelenlét'!Q47-1 &amp; "x" &amp;'Jelenlét'!$Z47," ")</f>
        <v> </v>
      </c>
      <c r="R23" s="15" t="str">
        <f>IF('Jelenlét'!R47&gt;1,'Jelenlét'!R47-1 &amp; "x" &amp;'Jelenlét'!$Z47," ")</f>
        <v> </v>
      </c>
      <c r="S23" s="15" t="str">
        <f>IF('Jelenlét'!S47&gt;1,'Jelenlét'!S47-1 &amp; "x" &amp;'Jelenlét'!$Z47," ")</f>
        <v> </v>
      </c>
      <c r="T23" s="15" t="str">
        <f>IF('Jelenlét'!T47&gt;1,'Jelenlét'!T47-1 &amp; "x" &amp;'Jelenlét'!$Z47," ")</f>
        <v> </v>
      </c>
      <c r="U23" s="15" t="str">
        <f>IF('Jelenlét'!U47&gt;1,'Jelenlét'!U47-1 &amp; "x" &amp;'Jelenlét'!$Z47," ")</f>
        <v> </v>
      </c>
      <c r="V23" s="15" t="str">
        <f>IF('Jelenlét'!V47&gt;1,'Jelenlét'!V47-1 &amp; "x" &amp;'Jelenlét'!$Z47," ")</f>
        <v> </v>
      </c>
    </row>
    <row r="24">
      <c r="B24" s="15" t="str">
        <f>IF('Jelenlét'!B48&gt;1,'Jelenlét'!B48-1 &amp; "x" &amp;'Jelenlét'!$Z48," ")</f>
        <v> </v>
      </c>
      <c r="C24" s="15" t="str">
        <f>IF('Jelenlét'!C48&gt;1,'Jelenlét'!C48-1 &amp; "x" &amp;'Jelenlét'!$Z48," ")</f>
        <v> </v>
      </c>
      <c r="D24" s="15" t="str">
        <f>IF('Jelenlét'!D48&gt;1,'Jelenlét'!D48-1 &amp; "x" &amp;'Jelenlét'!$Z48," ")</f>
        <v> </v>
      </c>
      <c r="E24" s="15" t="str">
        <f>IF('Jelenlét'!E48&gt;1,'Jelenlét'!E48-1 &amp; "x" &amp;'Jelenlét'!$Z48," ")</f>
        <v> </v>
      </c>
      <c r="F24" s="15" t="str">
        <f>IF('Jelenlét'!F48&gt;1,'Jelenlét'!F48-1 &amp; "x" &amp;'Jelenlét'!$Z48," ")</f>
        <v> </v>
      </c>
      <c r="G24" s="15" t="str">
        <f>IF('Jelenlét'!G48&gt;1,'Jelenlét'!G48-1 &amp; "x" &amp;'Jelenlét'!$Z48," ")</f>
        <v> </v>
      </c>
      <c r="H24" s="15" t="str">
        <f>IF('Jelenlét'!H48&gt;1,'Jelenlét'!H48-1 &amp; "x" &amp;'Jelenlét'!$Z48," ")</f>
        <v> </v>
      </c>
      <c r="I24" s="15" t="str">
        <f>IF('Jelenlét'!I48&gt;1,'Jelenlét'!I48-1 &amp; "x" &amp;'Jelenlét'!$Z48," ")</f>
        <v> </v>
      </c>
      <c r="J24" s="15" t="str">
        <f>IF('Jelenlét'!J48&gt;1,'Jelenlét'!J48-1 &amp; "x" &amp;'Jelenlét'!$Z48," ")</f>
        <v> </v>
      </c>
      <c r="K24" s="15" t="str">
        <f>IF('Jelenlét'!K48&gt;1,'Jelenlét'!K48-1 &amp; "x" &amp;'Jelenlét'!$Z48," ")</f>
        <v> </v>
      </c>
      <c r="L24" s="15" t="str">
        <f>IF('Jelenlét'!L48&gt;1,'Jelenlét'!L48-1 &amp; "x" &amp;'Jelenlét'!$Z48," ")</f>
        <v> </v>
      </c>
      <c r="M24" s="15" t="str">
        <f>IF('Jelenlét'!M48&gt;1,'Jelenlét'!M48-1 &amp; "x" &amp;'Jelenlét'!$Z48," ")</f>
        <v> </v>
      </c>
      <c r="N24" s="15" t="str">
        <f>IF('Jelenlét'!N48&gt;1,'Jelenlét'!N48-1 &amp; "x" &amp;'Jelenlét'!$Z48," ")</f>
        <v> </v>
      </c>
      <c r="O24" s="15" t="str">
        <f>IF('Jelenlét'!O48&gt;1,'Jelenlét'!O48-1 &amp; "x" &amp;'Jelenlét'!$Z48," ")</f>
        <v> </v>
      </c>
      <c r="P24" s="15" t="str">
        <f>IF('Jelenlét'!P48&gt;1,'Jelenlét'!P48-1 &amp; "x" &amp;'Jelenlét'!$Z48," ")</f>
        <v> </v>
      </c>
      <c r="Q24" s="15" t="str">
        <f>IF('Jelenlét'!Q48&gt;1,'Jelenlét'!Q48-1 &amp; "x" &amp;'Jelenlét'!$Z48," ")</f>
        <v> </v>
      </c>
      <c r="R24" s="15" t="str">
        <f>IF('Jelenlét'!R48&gt;1,'Jelenlét'!R48-1 &amp; "x" &amp;'Jelenlét'!$Z48," ")</f>
        <v>2x1666,13333333333</v>
      </c>
      <c r="S24" s="15" t="str">
        <f>IF('Jelenlét'!S48&gt;1,'Jelenlét'!S48-1 &amp; "x" &amp;'Jelenlét'!$Z48," ")</f>
        <v> </v>
      </c>
      <c r="T24" s="15" t="str">
        <f>IF('Jelenlét'!T48&gt;1,'Jelenlét'!T48-1 &amp; "x" &amp;'Jelenlét'!$Z48," ")</f>
        <v> </v>
      </c>
      <c r="U24" s="15" t="str">
        <f>IF('Jelenlét'!U48&gt;1,'Jelenlét'!U48-1 &amp; "x" &amp;'Jelenlét'!$Z48," ")</f>
        <v> </v>
      </c>
      <c r="V24" s="15" t="str">
        <f>IF('Jelenlét'!V48&gt;1,'Jelenlét'!V48-1 &amp; "x" &amp;'Jelenlét'!$Z48," ")</f>
        <v>2x1666,13333333333</v>
      </c>
    </row>
    <row r="25">
      <c r="B25" s="15" t="str">
        <f>IF('Jelenlét'!B49&gt;1,'Jelenlét'!B49-1 &amp; "x" &amp;'Jelenlét'!$Z49," ")</f>
        <v> </v>
      </c>
      <c r="C25" s="15" t="str">
        <f>IF('Jelenlét'!C49&gt;1,'Jelenlét'!C49-1 &amp; "x" &amp;'Jelenlét'!$Z49," ")</f>
        <v> </v>
      </c>
      <c r="D25" s="15" t="str">
        <f>IF('Jelenlét'!D49&gt;1,'Jelenlét'!D49-1 &amp; "x" &amp;'Jelenlét'!$Z49," ")</f>
        <v> </v>
      </c>
      <c r="E25" s="15" t="str">
        <f>IF('Jelenlét'!E49&gt;1,'Jelenlét'!E49-1 &amp; "x" &amp;'Jelenlét'!$Z49," ")</f>
        <v> </v>
      </c>
      <c r="F25" s="15" t="str">
        <f>IF('Jelenlét'!F49&gt;1,'Jelenlét'!F49-1 &amp; "x" &amp;'Jelenlét'!$Z49," ")</f>
        <v>1x1780</v>
      </c>
      <c r="G25" s="15" t="str">
        <f>IF('Jelenlét'!G49&gt;1,'Jelenlét'!G49-1 &amp; "x" &amp;'Jelenlét'!$Z49," ")</f>
        <v> </v>
      </c>
      <c r="H25" s="15" t="str">
        <f>IF('Jelenlét'!H49&gt;1,'Jelenlét'!H49-1 &amp; "x" &amp;'Jelenlét'!$Z49," ")</f>
        <v> </v>
      </c>
      <c r="I25" s="15" t="str">
        <f>IF('Jelenlét'!I49&gt;1,'Jelenlét'!I49-1 &amp; "x" &amp;'Jelenlét'!$Z49," ")</f>
        <v> </v>
      </c>
      <c r="J25" s="15" t="str">
        <f>IF('Jelenlét'!J49&gt;1,'Jelenlét'!J49-1 &amp; "x" &amp;'Jelenlét'!$Z49," ")</f>
        <v> </v>
      </c>
      <c r="K25" s="15" t="str">
        <f>IF('Jelenlét'!K49&gt;1,'Jelenlét'!K49-1 &amp; "x" &amp;'Jelenlét'!$Z49," ")</f>
        <v> </v>
      </c>
      <c r="L25" s="15" t="str">
        <f>IF('Jelenlét'!L49&gt;1,'Jelenlét'!L49-1 &amp; "x" &amp;'Jelenlét'!$Z49," ")</f>
        <v> </v>
      </c>
      <c r="M25" s="15" t="str">
        <f>IF('Jelenlét'!M49&gt;1,'Jelenlét'!M49-1 &amp; "x" &amp;'Jelenlét'!$Z49," ")</f>
        <v> </v>
      </c>
      <c r="N25" s="15" t="str">
        <f>IF('Jelenlét'!N49&gt;1,'Jelenlét'!N49-1 &amp; "x" &amp;'Jelenlét'!$Z49," ")</f>
        <v> </v>
      </c>
      <c r="O25" s="15" t="str">
        <f>IF('Jelenlét'!O49&gt;1,'Jelenlét'!O49-1 &amp; "x" &amp;'Jelenlét'!$Z49," ")</f>
        <v> </v>
      </c>
      <c r="P25" s="15" t="str">
        <f>IF('Jelenlét'!P49&gt;1,'Jelenlét'!P49-1 &amp; "x" &amp;'Jelenlét'!$Z49," ")</f>
        <v> </v>
      </c>
      <c r="Q25" s="15" t="str">
        <f>IF('Jelenlét'!Q49&gt;1,'Jelenlét'!Q49-1 &amp; "x" &amp;'Jelenlét'!$Z49," ")</f>
        <v> </v>
      </c>
      <c r="R25" s="15" t="str">
        <f>IF('Jelenlét'!R49&gt;1,'Jelenlét'!R49-1 &amp; "x" &amp;'Jelenlét'!$Z49," ")</f>
        <v> </v>
      </c>
      <c r="S25" s="15" t="str">
        <f>IF('Jelenlét'!S49&gt;1,'Jelenlét'!S49-1 &amp; "x" &amp;'Jelenlét'!$Z49," ")</f>
        <v>1x1780</v>
      </c>
      <c r="T25" s="15" t="str">
        <f>IF('Jelenlét'!T49&gt;1,'Jelenlét'!T49-1 &amp; "x" &amp;'Jelenlét'!$Z49," ")</f>
        <v> </v>
      </c>
      <c r="U25" s="15" t="str">
        <f>IF('Jelenlét'!U49&gt;1,'Jelenlét'!U49-1 &amp; "x" &amp;'Jelenlét'!$Z49," ")</f>
        <v> </v>
      </c>
      <c r="V25" s="15" t="str">
        <f>IF('Jelenlét'!V49&gt;1,'Jelenlét'!V49-1 &amp; "x" &amp;'Jelenlét'!$Z49," ")</f>
        <v> </v>
      </c>
    </row>
    <row r="26">
      <c r="B26" s="19" t="b">
        <v>0</v>
      </c>
      <c r="C26" s="4" t="b">
        <v>0</v>
      </c>
      <c r="D26" s="4" t="b">
        <v>1</v>
      </c>
      <c r="E26" s="4" t="b">
        <v>1</v>
      </c>
      <c r="F26" s="4" t="b">
        <v>1</v>
      </c>
      <c r="G26" s="4" t="b">
        <v>1</v>
      </c>
      <c r="H26" s="4" t="b">
        <v>1</v>
      </c>
      <c r="I26" s="4" t="b">
        <v>1</v>
      </c>
      <c r="J26" s="4" t="b">
        <v>1</v>
      </c>
      <c r="K26" s="19" t="b">
        <v>0</v>
      </c>
      <c r="L26" s="19" t="b">
        <v>0</v>
      </c>
      <c r="M26" s="19" t="b">
        <v>0</v>
      </c>
      <c r="N26" s="19" t="b">
        <v>0</v>
      </c>
      <c r="O26" s="19" t="b">
        <v>0</v>
      </c>
      <c r="P26" s="19" t="b">
        <v>0</v>
      </c>
      <c r="Q26" s="4" t="b">
        <v>0</v>
      </c>
      <c r="R26" s="4" t="b">
        <v>1</v>
      </c>
      <c r="S26" s="4" t="b">
        <v>1</v>
      </c>
      <c r="T26" s="4" t="b">
        <v>1</v>
      </c>
      <c r="U26" s="4" t="b">
        <v>1</v>
      </c>
      <c r="V26" s="4" t="b">
        <v>1</v>
      </c>
    </row>
  </sheetData>
  <drawing r:id="rId1"/>
  <tableParts count="4">
    <tablePart r:id="rId6"/>
    <tablePart r:id="rId7"/>
    <tablePart r:id="rId8"/>
    <tablePart r:id="rId9"/>
  </tableParts>
</worksheet>
</file>